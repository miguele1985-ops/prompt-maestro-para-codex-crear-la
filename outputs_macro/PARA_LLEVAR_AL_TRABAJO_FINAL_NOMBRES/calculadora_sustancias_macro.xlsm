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leria\Documents\Codex\2026-07-27\prompt-maestro-para-codex-crear-la\outputs_macro\PARA_LLEVAR_AL_TRABAJO_FINAL_NOMBRES\"/>
    </mc:Choice>
  </mc:AlternateContent>
  <xr:revisionPtr revIDLastSave="0" documentId="13_ncr:1_{2540B490-5414-405D-9522-7BCA8475FB61}" xr6:coauthVersionLast="47" xr6:coauthVersionMax="47" xr10:uidLastSave="{00000000-0000-0000-0000-000000000000}"/>
  <bookViews>
    <workbookView xWindow="-120" yWindow="-120" windowWidth="29040" windowHeight="15720" activeTab="2" xr2:uid="{794B8606-FE4A-4A18-AD24-92C2E70D0407}"/>
  </bookViews>
  <sheets>
    <sheet name="Base de datos" sheetId="3" r:id="rId1"/>
    <sheet name="Calculadora" sheetId="2" r:id="rId2"/>
    <sheet name="Informe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4" i="2" l="1"/>
  <c r="I204" i="2"/>
  <c r="H204" i="2"/>
  <c r="G204" i="2"/>
  <c r="F204" i="2"/>
  <c r="D204" i="2"/>
  <c r="C204" i="2"/>
  <c r="O204" i="2" s="1"/>
  <c r="J203" i="2"/>
  <c r="I203" i="2"/>
  <c r="H203" i="2"/>
  <c r="G203" i="2"/>
  <c r="F203" i="2"/>
  <c r="D203" i="2"/>
  <c r="C203" i="2"/>
  <c r="O203" i="2" s="1"/>
  <c r="J202" i="2"/>
  <c r="I202" i="2"/>
  <c r="H202" i="2"/>
  <c r="G202" i="2"/>
  <c r="F202" i="2"/>
  <c r="D202" i="2"/>
  <c r="C202" i="2"/>
  <c r="N202" i="2" s="1"/>
  <c r="J201" i="2"/>
  <c r="I201" i="2"/>
  <c r="H201" i="2"/>
  <c r="G201" i="2"/>
  <c r="F201" i="2"/>
  <c r="D201" i="2"/>
  <c r="C201" i="2"/>
  <c r="O201" i="2" s="1"/>
  <c r="J200" i="2"/>
  <c r="I200" i="2"/>
  <c r="H200" i="2"/>
  <c r="G200" i="2"/>
  <c r="F200" i="2"/>
  <c r="D200" i="2"/>
  <c r="C200" i="2"/>
  <c r="N200" i="2" s="1"/>
  <c r="J199" i="2"/>
  <c r="I199" i="2"/>
  <c r="H199" i="2"/>
  <c r="G199" i="2"/>
  <c r="F199" i="2"/>
  <c r="D199" i="2"/>
  <c r="C199" i="2"/>
  <c r="O199" i="2" s="1"/>
  <c r="J198" i="2"/>
  <c r="I198" i="2"/>
  <c r="H198" i="2"/>
  <c r="G198" i="2"/>
  <c r="F198" i="2"/>
  <c r="D198" i="2"/>
  <c r="C198" i="2"/>
  <c r="O198" i="2" s="1"/>
  <c r="J197" i="2"/>
  <c r="I197" i="2"/>
  <c r="H197" i="2"/>
  <c r="G197" i="2"/>
  <c r="F197" i="2"/>
  <c r="D197" i="2"/>
  <c r="C197" i="2"/>
  <c r="O197" i="2" s="1"/>
  <c r="J196" i="2"/>
  <c r="I196" i="2"/>
  <c r="H196" i="2"/>
  <c r="G196" i="2"/>
  <c r="F196" i="2"/>
  <c r="D196" i="2"/>
  <c r="C196" i="2"/>
  <c r="N196" i="2" s="1"/>
  <c r="J195" i="2"/>
  <c r="I195" i="2"/>
  <c r="H195" i="2"/>
  <c r="G195" i="2"/>
  <c r="F195" i="2"/>
  <c r="D195" i="2"/>
  <c r="C195" i="2"/>
  <c r="O195" i="2" s="1"/>
  <c r="J194" i="2"/>
  <c r="I194" i="2"/>
  <c r="H194" i="2"/>
  <c r="G194" i="2"/>
  <c r="F194" i="2"/>
  <c r="D194" i="2"/>
  <c r="C194" i="2"/>
  <c r="N194" i="2" s="1"/>
  <c r="J193" i="2"/>
  <c r="I193" i="2"/>
  <c r="H193" i="2"/>
  <c r="G193" i="2"/>
  <c r="F193" i="2"/>
  <c r="D193" i="2"/>
  <c r="C193" i="2"/>
  <c r="O193" i="2" s="1"/>
  <c r="J192" i="2"/>
  <c r="I192" i="2"/>
  <c r="H192" i="2"/>
  <c r="G192" i="2"/>
  <c r="F192" i="2"/>
  <c r="D192" i="2"/>
  <c r="C192" i="2"/>
  <c r="N192" i="2" s="1"/>
  <c r="J191" i="2"/>
  <c r="I191" i="2"/>
  <c r="H191" i="2"/>
  <c r="G191" i="2"/>
  <c r="F191" i="2"/>
  <c r="D191" i="2"/>
  <c r="C191" i="2"/>
  <c r="O191" i="2" s="1"/>
  <c r="J190" i="2"/>
  <c r="I190" i="2"/>
  <c r="H190" i="2"/>
  <c r="G190" i="2"/>
  <c r="F190" i="2"/>
  <c r="D190" i="2"/>
  <c r="C190" i="2"/>
  <c r="N190" i="2" s="1"/>
  <c r="J189" i="2"/>
  <c r="I189" i="2"/>
  <c r="H189" i="2"/>
  <c r="G189" i="2"/>
  <c r="F189" i="2"/>
  <c r="D189" i="2"/>
  <c r="C189" i="2"/>
  <c r="O189" i="2" s="1"/>
  <c r="J188" i="2"/>
  <c r="I188" i="2"/>
  <c r="H188" i="2"/>
  <c r="G188" i="2"/>
  <c r="F188" i="2"/>
  <c r="D188" i="2"/>
  <c r="C188" i="2"/>
  <c r="N188" i="2" s="1"/>
  <c r="J187" i="2"/>
  <c r="I187" i="2"/>
  <c r="H187" i="2"/>
  <c r="G187" i="2"/>
  <c r="F187" i="2"/>
  <c r="D187" i="2"/>
  <c r="C187" i="2"/>
  <c r="O187" i="2" s="1"/>
  <c r="J186" i="2"/>
  <c r="I186" i="2"/>
  <c r="H186" i="2"/>
  <c r="G186" i="2"/>
  <c r="F186" i="2"/>
  <c r="D186" i="2"/>
  <c r="C186" i="2"/>
  <c r="O186" i="2" s="1"/>
  <c r="J185" i="2"/>
  <c r="I185" i="2"/>
  <c r="H185" i="2"/>
  <c r="G185" i="2"/>
  <c r="F185" i="2"/>
  <c r="D185" i="2"/>
  <c r="C185" i="2"/>
  <c r="O185" i="2" s="1"/>
  <c r="J184" i="2"/>
  <c r="I184" i="2"/>
  <c r="H184" i="2"/>
  <c r="G184" i="2"/>
  <c r="F184" i="2"/>
  <c r="D184" i="2"/>
  <c r="C184" i="2"/>
  <c r="N184" i="2" s="1"/>
  <c r="J183" i="2"/>
  <c r="I183" i="2"/>
  <c r="H183" i="2"/>
  <c r="G183" i="2"/>
  <c r="F183" i="2"/>
  <c r="D183" i="2"/>
  <c r="C183" i="2"/>
  <c r="O183" i="2" s="1"/>
  <c r="J182" i="2"/>
  <c r="I182" i="2"/>
  <c r="H182" i="2"/>
  <c r="G182" i="2"/>
  <c r="F182" i="2"/>
  <c r="D182" i="2"/>
  <c r="C182" i="2"/>
  <c r="N182" i="2" s="1"/>
  <c r="J181" i="2"/>
  <c r="I181" i="2"/>
  <c r="H181" i="2"/>
  <c r="G181" i="2"/>
  <c r="F181" i="2"/>
  <c r="D181" i="2"/>
  <c r="C181" i="2"/>
  <c r="O181" i="2" s="1"/>
  <c r="J180" i="2"/>
  <c r="I180" i="2"/>
  <c r="H180" i="2"/>
  <c r="G180" i="2"/>
  <c r="F180" i="2"/>
  <c r="D180" i="2"/>
  <c r="C180" i="2"/>
  <c r="O180" i="2" s="1"/>
  <c r="J179" i="2"/>
  <c r="I179" i="2"/>
  <c r="H179" i="2"/>
  <c r="G179" i="2"/>
  <c r="F179" i="2"/>
  <c r="D179" i="2"/>
  <c r="C179" i="2"/>
  <c r="O179" i="2" s="1"/>
  <c r="J178" i="2"/>
  <c r="I178" i="2"/>
  <c r="H178" i="2"/>
  <c r="G178" i="2"/>
  <c r="F178" i="2"/>
  <c r="D178" i="2"/>
  <c r="C178" i="2"/>
  <c r="N178" i="2" s="1"/>
  <c r="J177" i="2"/>
  <c r="I177" i="2"/>
  <c r="H177" i="2"/>
  <c r="G177" i="2"/>
  <c r="F177" i="2"/>
  <c r="D177" i="2"/>
  <c r="C177" i="2"/>
  <c r="N177" i="2" s="1"/>
  <c r="J176" i="2"/>
  <c r="I176" i="2"/>
  <c r="H176" i="2"/>
  <c r="G176" i="2"/>
  <c r="F176" i="2"/>
  <c r="D176" i="2"/>
  <c r="C176" i="2"/>
  <c r="O176" i="2" s="1"/>
  <c r="J175" i="2"/>
  <c r="I175" i="2"/>
  <c r="H175" i="2"/>
  <c r="G175" i="2"/>
  <c r="F175" i="2"/>
  <c r="D175" i="2"/>
  <c r="C175" i="2"/>
  <c r="O175" i="2" s="1"/>
  <c r="J174" i="2"/>
  <c r="I174" i="2"/>
  <c r="H174" i="2"/>
  <c r="G174" i="2"/>
  <c r="F174" i="2"/>
  <c r="D174" i="2"/>
  <c r="C174" i="2"/>
  <c r="O174" i="2" s="1"/>
  <c r="J173" i="2"/>
  <c r="I173" i="2"/>
  <c r="H173" i="2"/>
  <c r="G173" i="2"/>
  <c r="F173" i="2"/>
  <c r="D173" i="2"/>
  <c r="C173" i="2"/>
  <c r="O173" i="2" s="1"/>
  <c r="J172" i="2"/>
  <c r="I172" i="2"/>
  <c r="H172" i="2"/>
  <c r="G172" i="2"/>
  <c r="F172" i="2"/>
  <c r="D172" i="2"/>
  <c r="C172" i="2"/>
  <c r="N172" i="2" s="1"/>
  <c r="J171" i="2"/>
  <c r="I171" i="2"/>
  <c r="H171" i="2"/>
  <c r="G171" i="2"/>
  <c r="F171" i="2"/>
  <c r="D171" i="2"/>
  <c r="C171" i="2"/>
  <c r="O171" i="2" s="1"/>
  <c r="J170" i="2"/>
  <c r="I170" i="2"/>
  <c r="H170" i="2"/>
  <c r="G170" i="2"/>
  <c r="F170" i="2"/>
  <c r="D170" i="2"/>
  <c r="C170" i="2"/>
  <c r="N170" i="2" s="1"/>
  <c r="J169" i="2"/>
  <c r="I169" i="2"/>
  <c r="H169" i="2"/>
  <c r="G169" i="2"/>
  <c r="F169" i="2"/>
  <c r="D169" i="2"/>
  <c r="C169" i="2"/>
  <c r="O169" i="2" s="1"/>
  <c r="J168" i="2"/>
  <c r="I168" i="2"/>
  <c r="H168" i="2"/>
  <c r="G168" i="2"/>
  <c r="F168" i="2"/>
  <c r="D168" i="2"/>
  <c r="C168" i="2"/>
  <c r="J167" i="2"/>
  <c r="I167" i="2"/>
  <c r="H167" i="2"/>
  <c r="G167" i="2"/>
  <c r="F167" i="2"/>
  <c r="D167" i="2"/>
  <c r="C167" i="2"/>
  <c r="O167" i="2" s="1"/>
  <c r="J166" i="2"/>
  <c r="I166" i="2"/>
  <c r="H166" i="2"/>
  <c r="G166" i="2"/>
  <c r="F166" i="2"/>
  <c r="D166" i="2"/>
  <c r="C166" i="2"/>
  <c r="N166" i="2" s="1"/>
  <c r="J165" i="2"/>
  <c r="I165" i="2"/>
  <c r="H165" i="2"/>
  <c r="G165" i="2"/>
  <c r="F165" i="2"/>
  <c r="D165" i="2"/>
  <c r="C165" i="2"/>
  <c r="O165" i="2" s="1"/>
  <c r="J164" i="2"/>
  <c r="I164" i="2"/>
  <c r="H164" i="2"/>
  <c r="G164" i="2"/>
  <c r="F164" i="2"/>
  <c r="D164" i="2"/>
  <c r="C164" i="2"/>
  <c r="O164" i="2" s="1"/>
  <c r="J163" i="2"/>
  <c r="I163" i="2"/>
  <c r="H163" i="2"/>
  <c r="G163" i="2"/>
  <c r="F163" i="2"/>
  <c r="D163" i="2"/>
  <c r="C163" i="2"/>
  <c r="O163" i="2" s="1"/>
  <c r="J162" i="2"/>
  <c r="I162" i="2"/>
  <c r="H162" i="2"/>
  <c r="G162" i="2"/>
  <c r="F162" i="2"/>
  <c r="D162" i="2"/>
  <c r="C162" i="2"/>
  <c r="O162" i="2" s="1"/>
  <c r="J161" i="2"/>
  <c r="I161" i="2"/>
  <c r="H161" i="2"/>
  <c r="G161" i="2"/>
  <c r="F161" i="2"/>
  <c r="D161" i="2"/>
  <c r="C161" i="2"/>
  <c r="O161" i="2" s="1"/>
  <c r="J160" i="2"/>
  <c r="I160" i="2"/>
  <c r="H160" i="2"/>
  <c r="G160" i="2"/>
  <c r="F160" i="2"/>
  <c r="D160" i="2"/>
  <c r="C160" i="2"/>
  <c r="N160" i="2" s="1"/>
  <c r="J159" i="2"/>
  <c r="I159" i="2"/>
  <c r="H159" i="2"/>
  <c r="G159" i="2"/>
  <c r="F159" i="2"/>
  <c r="D159" i="2"/>
  <c r="C159" i="2"/>
  <c r="O159" i="2" s="1"/>
  <c r="J158" i="2"/>
  <c r="I158" i="2"/>
  <c r="H158" i="2"/>
  <c r="G158" i="2"/>
  <c r="F158" i="2"/>
  <c r="D158" i="2"/>
  <c r="C158" i="2"/>
  <c r="N158" i="2" s="1"/>
  <c r="J157" i="2"/>
  <c r="I157" i="2"/>
  <c r="H157" i="2"/>
  <c r="G157" i="2"/>
  <c r="F157" i="2"/>
  <c r="D157" i="2"/>
  <c r="C157" i="2"/>
  <c r="O157" i="2" s="1"/>
  <c r="J156" i="2"/>
  <c r="I156" i="2"/>
  <c r="H156" i="2"/>
  <c r="G156" i="2"/>
  <c r="F156" i="2"/>
  <c r="D156" i="2"/>
  <c r="C156" i="2"/>
  <c r="O156" i="2" s="1"/>
  <c r="J155" i="2"/>
  <c r="I155" i="2"/>
  <c r="H155" i="2"/>
  <c r="G155" i="2"/>
  <c r="F155" i="2"/>
  <c r="D155" i="2"/>
  <c r="C155" i="2"/>
  <c r="O155" i="2" s="1"/>
  <c r="J154" i="2"/>
  <c r="I154" i="2"/>
  <c r="H154" i="2"/>
  <c r="G154" i="2"/>
  <c r="F154" i="2"/>
  <c r="D154" i="2"/>
  <c r="C154" i="2"/>
  <c r="N154" i="2" s="1"/>
  <c r="J153" i="2"/>
  <c r="I153" i="2"/>
  <c r="H153" i="2"/>
  <c r="G153" i="2"/>
  <c r="F153" i="2"/>
  <c r="D153" i="2"/>
  <c r="C153" i="2"/>
  <c r="J152" i="2"/>
  <c r="I152" i="2"/>
  <c r="H152" i="2"/>
  <c r="G152" i="2"/>
  <c r="F152" i="2"/>
  <c r="D152" i="2"/>
  <c r="C152" i="2"/>
  <c r="O152" i="2" s="1"/>
  <c r="J151" i="2"/>
  <c r="I151" i="2"/>
  <c r="H151" i="2"/>
  <c r="G151" i="2"/>
  <c r="F151" i="2"/>
  <c r="D151" i="2"/>
  <c r="C151" i="2"/>
  <c r="O151" i="2" s="1"/>
  <c r="J150" i="2"/>
  <c r="I150" i="2"/>
  <c r="H150" i="2"/>
  <c r="G150" i="2"/>
  <c r="F150" i="2"/>
  <c r="D150" i="2"/>
  <c r="C150" i="2"/>
  <c r="J149" i="2"/>
  <c r="I149" i="2"/>
  <c r="H149" i="2"/>
  <c r="G149" i="2"/>
  <c r="F149" i="2"/>
  <c r="D149" i="2"/>
  <c r="C149" i="2"/>
  <c r="N149" i="2" s="1"/>
  <c r="J148" i="2"/>
  <c r="I148" i="2"/>
  <c r="H148" i="2"/>
  <c r="G148" i="2"/>
  <c r="F148" i="2"/>
  <c r="D148" i="2"/>
  <c r="C148" i="2"/>
  <c r="N148" i="2" s="1"/>
  <c r="J147" i="2"/>
  <c r="I147" i="2"/>
  <c r="H147" i="2"/>
  <c r="G147" i="2"/>
  <c r="F147" i="2"/>
  <c r="D147" i="2"/>
  <c r="C147" i="2"/>
  <c r="O147" i="2" s="1"/>
  <c r="J146" i="2"/>
  <c r="I146" i="2"/>
  <c r="H146" i="2"/>
  <c r="G146" i="2"/>
  <c r="F146" i="2"/>
  <c r="D146" i="2"/>
  <c r="C146" i="2"/>
  <c r="N146" i="2" s="1"/>
  <c r="J145" i="2"/>
  <c r="I145" i="2"/>
  <c r="H145" i="2"/>
  <c r="G145" i="2"/>
  <c r="F145" i="2"/>
  <c r="D145" i="2"/>
  <c r="C145" i="2"/>
  <c r="O145" i="2" s="1"/>
  <c r="J144" i="2"/>
  <c r="I144" i="2"/>
  <c r="H144" i="2"/>
  <c r="G144" i="2"/>
  <c r="F144" i="2"/>
  <c r="D144" i="2"/>
  <c r="C144" i="2"/>
  <c r="O144" i="2" s="1"/>
  <c r="J143" i="2"/>
  <c r="I143" i="2"/>
  <c r="H143" i="2"/>
  <c r="G143" i="2"/>
  <c r="F143" i="2"/>
  <c r="D143" i="2"/>
  <c r="C143" i="2"/>
  <c r="O143" i="2" s="1"/>
  <c r="J142" i="2"/>
  <c r="I142" i="2"/>
  <c r="H142" i="2"/>
  <c r="G142" i="2"/>
  <c r="F142" i="2"/>
  <c r="D142" i="2"/>
  <c r="C142" i="2"/>
  <c r="N142" i="2" s="1"/>
  <c r="J141" i="2"/>
  <c r="I141" i="2"/>
  <c r="H141" i="2"/>
  <c r="G141" i="2"/>
  <c r="F141" i="2"/>
  <c r="D141" i="2"/>
  <c r="C141" i="2"/>
  <c r="N141" i="2" s="1"/>
  <c r="J140" i="2"/>
  <c r="I140" i="2"/>
  <c r="H140" i="2"/>
  <c r="G140" i="2"/>
  <c r="F140" i="2"/>
  <c r="D140" i="2"/>
  <c r="C140" i="2"/>
  <c r="O140" i="2" s="1"/>
  <c r="J139" i="2"/>
  <c r="I139" i="2"/>
  <c r="H139" i="2"/>
  <c r="G139" i="2"/>
  <c r="F139" i="2"/>
  <c r="D139" i="2"/>
  <c r="C139" i="2"/>
  <c r="O139" i="2" s="1"/>
  <c r="J138" i="2"/>
  <c r="I138" i="2"/>
  <c r="H138" i="2"/>
  <c r="G138" i="2"/>
  <c r="F138" i="2"/>
  <c r="D138" i="2"/>
  <c r="C138" i="2"/>
  <c r="O138" i="2" s="1"/>
  <c r="J137" i="2"/>
  <c r="I137" i="2"/>
  <c r="H137" i="2"/>
  <c r="G137" i="2"/>
  <c r="F137" i="2"/>
  <c r="D137" i="2"/>
  <c r="C137" i="2"/>
  <c r="O137" i="2" s="1"/>
  <c r="J136" i="2"/>
  <c r="I136" i="2"/>
  <c r="H136" i="2"/>
  <c r="G136" i="2"/>
  <c r="F136" i="2"/>
  <c r="D136" i="2"/>
  <c r="C136" i="2"/>
  <c r="N136" i="2" s="1"/>
  <c r="J135" i="2"/>
  <c r="I135" i="2"/>
  <c r="H135" i="2"/>
  <c r="G135" i="2"/>
  <c r="F135" i="2"/>
  <c r="D135" i="2"/>
  <c r="C135" i="2"/>
  <c r="O135" i="2" s="1"/>
  <c r="J134" i="2"/>
  <c r="I134" i="2"/>
  <c r="H134" i="2"/>
  <c r="G134" i="2"/>
  <c r="F134" i="2"/>
  <c r="D134" i="2"/>
  <c r="C134" i="2"/>
  <c r="N134" i="2" s="1"/>
  <c r="J133" i="2"/>
  <c r="I133" i="2"/>
  <c r="H133" i="2"/>
  <c r="G133" i="2"/>
  <c r="F133" i="2"/>
  <c r="D133" i="2"/>
  <c r="C133" i="2"/>
  <c r="O133" i="2" s="1"/>
  <c r="J132" i="2"/>
  <c r="I132" i="2"/>
  <c r="H132" i="2"/>
  <c r="G132" i="2"/>
  <c r="F132" i="2"/>
  <c r="D132" i="2"/>
  <c r="C132" i="2"/>
  <c r="N132" i="2" s="1"/>
  <c r="J131" i="2"/>
  <c r="I131" i="2"/>
  <c r="H131" i="2"/>
  <c r="G131" i="2"/>
  <c r="F131" i="2"/>
  <c r="D131" i="2"/>
  <c r="C131" i="2"/>
  <c r="O131" i="2" s="1"/>
  <c r="J130" i="2"/>
  <c r="I130" i="2"/>
  <c r="H130" i="2"/>
  <c r="G130" i="2"/>
  <c r="F130" i="2"/>
  <c r="D130" i="2"/>
  <c r="C130" i="2"/>
  <c r="N130" i="2" s="1"/>
  <c r="J129" i="2"/>
  <c r="I129" i="2"/>
  <c r="H129" i="2"/>
  <c r="G129" i="2"/>
  <c r="F129" i="2"/>
  <c r="D129" i="2"/>
  <c r="C129" i="2"/>
  <c r="O129" i="2" s="1"/>
  <c r="J128" i="2"/>
  <c r="I128" i="2"/>
  <c r="H128" i="2"/>
  <c r="G128" i="2"/>
  <c r="F128" i="2"/>
  <c r="D128" i="2"/>
  <c r="C128" i="2"/>
  <c r="O128" i="2" s="1"/>
  <c r="J127" i="2"/>
  <c r="I127" i="2"/>
  <c r="H127" i="2"/>
  <c r="G127" i="2"/>
  <c r="F127" i="2"/>
  <c r="D127" i="2"/>
  <c r="C127" i="2"/>
  <c r="O127" i="2" s="1"/>
  <c r="J126" i="2"/>
  <c r="I126" i="2"/>
  <c r="H126" i="2"/>
  <c r="G126" i="2"/>
  <c r="F126" i="2"/>
  <c r="D126" i="2"/>
  <c r="C126" i="2"/>
  <c r="O126" i="2" s="1"/>
  <c r="J125" i="2"/>
  <c r="I125" i="2"/>
  <c r="H125" i="2"/>
  <c r="G125" i="2"/>
  <c r="F125" i="2"/>
  <c r="D125" i="2"/>
  <c r="C125" i="2"/>
  <c r="O125" i="2" s="1"/>
  <c r="J124" i="2"/>
  <c r="I124" i="2"/>
  <c r="H124" i="2"/>
  <c r="G124" i="2"/>
  <c r="F124" i="2"/>
  <c r="D124" i="2"/>
  <c r="C124" i="2"/>
  <c r="N124" i="2" s="1"/>
  <c r="J123" i="2"/>
  <c r="I123" i="2"/>
  <c r="H123" i="2"/>
  <c r="G123" i="2"/>
  <c r="F123" i="2"/>
  <c r="D123" i="2"/>
  <c r="C123" i="2"/>
  <c r="O123" i="2" s="1"/>
  <c r="J122" i="2"/>
  <c r="I122" i="2"/>
  <c r="H122" i="2"/>
  <c r="G122" i="2"/>
  <c r="F122" i="2"/>
  <c r="D122" i="2"/>
  <c r="C122" i="2"/>
  <c r="N122" i="2" s="1"/>
  <c r="J121" i="2"/>
  <c r="I121" i="2"/>
  <c r="H121" i="2"/>
  <c r="G121" i="2"/>
  <c r="F121" i="2"/>
  <c r="D121" i="2"/>
  <c r="C121" i="2"/>
  <c r="O121" i="2" s="1"/>
  <c r="J120" i="2"/>
  <c r="I120" i="2"/>
  <c r="H120" i="2"/>
  <c r="G120" i="2"/>
  <c r="F120" i="2"/>
  <c r="D120" i="2"/>
  <c r="C120" i="2"/>
  <c r="N120" i="2" s="1"/>
  <c r="J119" i="2"/>
  <c r="I119" i="2"/>
  <c r="H119" i="2"/>
  <c r="G119" i="2"/>
  <c r="F119" i="2"/>
  <c r="D119" i="2"/>
  <c r="C119" i="2"/>
  <c r="O119" i="2" s="1"/>
  <c r="J118" i="2"/>
  <c r="I118" i="2"/>
  <c r="H118" i="2"/>
  <c r="G118" i="2"/>
  <c r="F118" i="2"/>
  <c r="D118" i="2"/>
  <c r="C118" i="2"/>
  <c r="N118" i="2" s="1"/>
  <c r="J117" i="2"/>
  <c r="I117" i="2"/>
  <c r="H117" i="2"/>
  <c r="G117" i="2"/>
  <c r="F117" i="2"/>
  <c r="D117" i="2"/>
  <c r="C117" i="2"/>
  <c r="N117" i="2" s="1"/>
  <c r="J116" i="2"/>
  <c r="I116" i="2"/>
  <c r="H116" i="2"/>
  <c r="G116" i="2"/>
  <c r="F116" i="2"/>
  <c r="D116" i="2"/>
  <c r="C116" i="2"/>
  <c r="N116" i="2" s="1"/>
  <c r="J115" i="2"/>
  <c r="I115" i="2"/>
  <c r="H115" i="2"/>
  <c r="G115" i="2"/>
  <c r="F115" i="2"/>
  <c r="D115" i="2"/>
  <c r="C115" i="2"/>
  <c r="O115" i="2" s="1"/>
  <c r="J114" i="2"/>
  <c r="I114" i="2"/>
  <c r="H114" i="2"/>
  <c r="G114" i="2"/>
  <c r="F114" i="2"/>
  <c r="D114" i="2"/>
  <c r="C114" i="2"/>
  <c r="O114" i="2" s="1"/>
  <c r="J113" i="2"/>
  <c r="I113" i="2"/>
  <c r="H113" i="2"/>
  <c r="G113" i="2"/>
  <c r="F113" i="2"/>
  <c r="D113" i="2"/>
  <c r="C113" i="2"/>
  <c r="O113" i="2" s="1"/>
  <c r="J112" i="2"/>
  <c r="I112" i="2"/>
  <c r="H112" i="2"/>
  <c r="G112" i="2"/>
  <c r="F112" i="2"/>
  <c r="D112" i="2"/>
  <c r="C112" i="2"/>
  <c r="N112" i="2" s="1"/>
  <c r="J111" i="2"/>
  <c r="I111" i="2"/>
  <c r="H111" i="2"/>
  <c r="G111" i="2"/>
  <c r="F111" i="2"/>
  <c r="D111" i="2"/>
  <c r="C111" i="2"/>
  <c r="O111" i="2" s="1"/>
  <c r="J110" i="2"/>
  <c r="I110" i="2"/>
  <c r="H110" i="2"/>
  <c r="G110" i="2"/>
  <c r="F110" i="2"/>
  <c r="D110" i="2"/>
  <c r="C110" i="2"/>
  <c r="N110" i="2" s="1"/>
  <c r="J109" i="2"/>
  <c r="I109" i="2"/>
  <c r="H109" i="2"/>
  <c r="G109" i="2"/>
  <c r="F109" i="2"/>
  <c r="D109" i="2"/>
  <c r="C109" i="2"/>
  <c r="O109" i="2" s="1"/>
  <c r="J108" i="2"/>
  <c r="I108" i="2"/>
  <c r="H108" i="2"/>
  <c r="G108" i="2"/>
  <c r="F108" i="2"/>
  <c r="D108" i="2"/>
  <c r="C108" i="2"/>
  <c r="O108" i="2" s="1"/>
  <c r="J107" i="2"/>
  <c r="I107" i="2"/>
  <c r="H107" i="2"/>
  <c r="G107" i="2"/>
  <c r="F107" i="2"/>
  <c r="D107" i="2"/>
  <c r="C107" i="2"/>
  <c r="O107" i="2" s="1"/>
  <c r="J106" i="2"/>
  <c r="I106" i="2"/>
  <c r="H106" i="2"/>
  <c r="G106" i="2"/>
  <c r="F106" i="2"/>
  <c r="D106" i="2"/>
  <c r="C106" i="2"/>
  <c r="N106" i="2" s="1"/>
  <c r="J105" i="2"/>
  <c r="I105" i="2"/>
  <c r="H105" i="2"/>
  <c r="G105" i="2"/>
  <c r="F105" i="2"/>
  <c r="D105" i="2"/>
  <c r="C105" i="2"/>
  <c r="N105" i="2" s="1"/>
  <c r="J104" i="2"/>
  <c r="I104" i="2"/>
  <c r="H104" i="2"/>
  <c r="G104" i="2"/>
  <c r="F104" i="2"/>
  <c r="D104" i="2"/>
  <c r="C104" i="2"/>
  <c r="N104" i="2" s="1"/>
  <c r="J103" i="2"/>
  <c r="I103" i="2"/>
  <c r="H103" i="2"/>
  <c r="G103" i="2"/>
  <c r="F103" i="2"/>
  <c r="D103" i="2"/>
  <c r="C103" i="2"/>
  <c r="O103" i="2" s="1"/>
  <c r="J102" i="2"/>
  <c r="I102" i="2"/>
  <c r="H102" i="2"/>
  <c r="G102" i="2"/>
  <c r="F102" i="2"/>
  <c r="D102" i="2"/>
  <c r="C102" i="2"/>
  <c r="O102" i="2" s="1"/>
  <c r="J101" i="2"/>
  <c r="I101" i="2"/>
  <c r="H101" i="2"/>
  <c r="G101" i="2"/>
  <c r="F101" i="2"/>
  <c r="D101" i="2"/>
  <c r="C101" i="2"/>
  <c r="O101" i="2" s="1"/>
  <c r="J100" i="2"/>
  <c r="I100" i="2"/>
  <c r="H100" i="2"/>
  <c r="G100" i="2"/>
  <c r="F100" i="2"/>
  <c r="D100" i="2"/>
  <c r="C100" i="2"/>
  <c r="N100" i="2" s="1"/>
  <c r="J99" i="2"/>
  <c r="I99" i="2"/>
  <c r="H99" i="2"/>
  <c r="G99" i="2"/>
  <c r="F99" i="2"/>
  <c r="D99" i="2"/>
  <c r="C99" i="2"/>
  <c r="O99" i="2" s="1"/>
  <c r="J98" i="2"/>
  <c r="I98" i="2"/>
  <c r="H98" i="2"/>
  <c r="G98" i="2"/>
  <c r="F98" i="2"/>
  <c r="D98" i="2"/>
  <c r="C98" i="2"/>
  <c r="N98" i="2" s="1"/>
  <c r="J97" i="2"/>
  <c r="I97" i="2"/>
  <c r="H97" i="2"/>
  <c r="G97" i="2"/>
  <c r="F97" i="2"/>
  <c r="D97" i="2"/>
  <c r="C97" i="2"/>
  <c r="O97" i="2" s="1"/>
  <c r="J96" i="2"/>
  <c r="I96" i="2"/>
  <c r="H96" i="2"/>
  <c r="G96" i="2"/>
  <c r="F96" i="2"/>
  <c r="D96" i="2"/>
  <c r="C96" i="2"/>
  <c r="J95" i="2"/>
  <c r="I95" i="2"/>
  <c r="H95" i="2"/>
  <c r="G95" i="2"/>
  <c r="F95" i="2"/>
  <c r="D95" i="2"/>
  <c r="C95" i="2"/>
  <c r="O95" i="2" s="1"/>
  <c r="J94" i="2"/>
  <c r="I94" i="2"/>
  <c r="H94" i="2"/>
  <c r="G94" i="2"/>
  <c r="F94" i="2"/>
  <c r="D94" i="2"/>
  <c r="C94" i="2"/>
  <c r="N94" i="2" s="1"/>
  <c r="J93" i="2"/>
  <c r="I93" i="2"/>
  <c r="H93" i="2"/>
  <c r="G93" i="2"/>
  <c r="F93" i="2"/>
  <c r="D93" i="2"/>
  <c r="C93" i="2"/>
  <c r="O93" i="2" s="1"/>
  <c r="J92" i="2"/>
  <c r="I92" i="2"/>
  <c r="H92" i="2"/>
  <c r="G92" i="2"/>
  <c r="F92" i="2"/>
  <c r="D92" i="2"/>
  <c r="C92" i="2"/>
  <c r="O92" i="2" s="1"/>
  <c r="J91" i="2"/>
  <c r="I91" i="2"/>
  <c r="H91" i="2"/>
  <c r="G91" i="2"/>
  <c r="F91" i="2"/>
  <c r="D91" i="2"/>
  <c r="C91" i="2"/>
  <c r="O91" i="2" s="1"/>
  <c r="J90" i="2"/>
  <c r="I90" i="2"/>
  <c r="H90" i="2"/>
  <c r="G90" i="2"/>
  <c r="F90" i="2"/>
  <c r="D90" i="2"/>
  <c r="C90" i="2"/>
  <c r="O90" i="2" s="1"/>
  <c r="J89" i="2"/>
  <c r="I89" i="2"/>
  <c r="H89" i="2"/>
  <c r="G89" i="2"/>
  <c r="F89" i="2"/>
  <c r="D89" i="2"/>
  <c r="C89" i="2"/>
  <c r="O89" i="2" s="1"/>
  <c r="J88" i="2"/>
  <c r="I88" i="2"/>
  <c r="H88" i="2"/>
  <c r="G88" i="2"/>
  <c r="F88" i="2"/>
  <c r="D88" i="2"/>
  <c r="C88" i="2"/>
  <c r="N88" i="2" s="1"/>
  <c r="J87" i="2"/>
  <c r="I87" i="2"/>
  <c r="H87" i="2"/>
  <c r="G87" i="2"/>
  <c r="F87" i="2"/>
  <c r="D87" i="2"/>
  <c r="C87" i="2"/>
  <c r="N87" i="2" s="1"/>
  <c r="J86" i="2"/>
  <c r="I86" i="2"/>
  <c r="H86" i="2"/>
  <c r="G86" i="2"/>
  <c r="F86" i="2"/>
  <c r="D86" i="2"/>
  <c r="C86" i="2"/>
  <c r="O86" i="2" s="1"/>
  <c r="J85" i="2"/>
  <c r="I85" i="2"/>
  <c r="H85" i="2"/>
  <c r="G85" i="2"/>
  <c r="F85" i="2"/>
  <c r="D85" i="2"/>
  <c r="C85" i="2"/>
  <c r="O85" i="2" s="1"/>
  <c r="J84" i="2"/>
  <c r="I84" i="2"/>
  <c r="H84" i="2"/>
  <c r="G84" i="2"/>
  <c r="F84" i="2"/>
  <c r="D84" i="2"/>
  <c r="C84" i="2"/>
  <c r="O84" i="2" s="1"/>
  <c r="J83" i="2"/>
  <c r="I83" i="2"/>
  <c r="H83" i="2"/>
  <c r="G83" i="2"/>
  <c r="F83" i="2"/>
  <c r="D83" i="2"/>
  <c r="C83" i="2"/>
  <c r="N83" i="2" s="1"/>
  <c r="J82" i="2"/>
  <c r="I82" i="2"/>
  <c r="H82" i="2"/>
  <c r="G82" i="2"/>
  <c r="F82" i="2"/>
  <c r="D82" i="2"/>
  <c r="C82" i="2"/>
  <c r="N82" i="2" s="1"/>
  <c r="J81" i="2"/>
  <c r="I81" i="2"/>
  <c r="H81" i="2"/>
  <c r="G81" i="2"/>
  <c r="F81" i="2"/>
  <c r="D81" i="2"/>
  <c r="C81" i="2"/>
  <c r="J80" i="2"/>
  <c r="I80" i="2"/>
  <c r="H80" i="2"/>
  <c r="G80" i="2"/>
  <c r="F80" i="2"/>
  <c r="D80" i="2"/>
  <c r="C80" i="2"/>
  <c r="O80" i="2" s="1"/>
  <c r="J79" i="2"/>
  <c r="I79" i="2"/>
  <c r="H79" i="2"/>
  <c r="G79" i="2"/>
  <c r="F79" i="2"/>
  <c r="D79" i="2"/>
  <c r="C79" i="2"/>
  <c r="O79" i="2" s="1"/>
  <c r="J78" i="2"/>
  <c r="I78" i="2"/>
  <c r="H78" i="2"/>
  <c r="G78" i="2"/>
  <c r="F78" i="2"/>
  <c r="D78" i="2"/>
  <c r="C78" i="2"/>
  <c r="J77" i="2"/>
  <c r="I77" i="2"/>
  <c r="H77" i="2"/>
  <c r="G77" i="2"/>
  <c r="F77" i="2"/>
  <c r="D77" i="2"/>
  <c r="C77" i="2"/>
  <c r="N77" i="2" s="1"/>
  <c r="J76" i="2"/>
  <c r="I76" i="2"/>
  <c r="H76" i="2"/>
  <c r="G76" i="2"/>
  <c r="F76" i="2"/>
  <c r="D76" i="2"/>
  <c r="C76" i="2"/>
  <c r="N76" i="2" s="1"/>
  <c r="J75" i="2"/>
  <c r="I75" i="2"/>
  <c r="H75" i="2"/>
  <c r="G75" i="2"/>
  <c r="F75" i="2"/>
  <c r="D75" i="2"/>
  <c r="C75" i="2"/>
  <c r="O75" i="2" s="1"/>
  <c r="J74" i="2"/>
  <c r="I74" i="2"/>
  <c r="H74" i="2"/>
  <c r="G74" i="2"/>
  <c r="F74" i="2"/>
  <c r="D74" i="2"/>
  <c r="C74" i="2"/>
  <c r="O74" i="2" s="1"/>
  <c r="J73" i="2"/>
  <c r="I73" i="2"/>
  <c r="H73" i="2"/>
  <c r="G73" i="2"/>
  <c r="F73" i="2"/>
  <c r="D73" i="2"/>
  <c r="C73" i="2"/>
  <c r="O73" i="2" s="1"/>
  <c r="J72" i="2"/>
  <c r="I72" i="2"/>
  <c r="H72" i="2"/>
  <c r="G72" i="2"/>
  <c r="F72" i="2"/>
  <c r="D72" i="2"/>
  <c r="C72" i="2"/>
  <c r="O72" i="2" s="1"/>
  <c r="J71" i="2"/>
  <c r="I71" i="2"/>
  <c r="H71" i="2"/>
  <c r="G71" i="2"/>
  <c r="F71" i="2"/>
  <c r="D71" i="2"/>
  <c r="C71" i="2"/>
  <c r="O71" i="2" s="1"/>
  <c r="J70" i="2"/>
  <c r="I70" i="2"/>
  <c r="H70" i="2"/>
  <c r="G70" i="2"/>
  <c r="F70" i="2"/>
  <c r="D70" i="2"/>
  <c r="C70" i="2"/>
  <c r="N70" i="2" s="1"/>
  <c r="J69" i="2"/>
  <c r="I69" i="2"/>
  <c r="H69" i="2"/>
  <c r="G69" i="2"/>
  <c r="F69" i="2"/>
  <c r="D69" i="2"/>
  <c r="C69" i="2"/>
  <c r="N69" i="2" s="1"/>
  <c r="J68" i="2"/>
  <c r="I68" i="2"/>
  <c r="H68" i="2"/>
  <c r="G68" i="2"/>
  <c r="F68" i="2"/>
  <c r="D68" i="2"/>
  <c r="C68" i="2"/>
  <c r="O68" i="2" s="1"/>
  <c r="J67" i="2"/>
  <c r="I67" i="2"/>
  <c r="H67" i="2"/>
  <c r="G67" i="2"/>
  <c r="F67" i="2"/>
  <c r="D67" i="2"/>
  <c r="C67" i="2"/>
  <c r="O67" i="2" s="1"/>
  <c r="J66" i="2"/>
  <c r="I66" i="2"/>
  <c r="H66" i="2"/>
  <c r="G66" i="2"/>
  <c r="F66" i="2"/>
  <c r="D66" i="2"/>
  <c r="C66" i="2"/>
  <c r="O66" i="2" s="1"/>
  <c r="J65" i="2"/>
  <c r="I65" i="2"/>
  <c r="H65" i="2"/>
  <c r="G65" i="2"/>
  <c r="F65" i="2"/>
  <c r="D65" i="2"/>
  <c r="C65" i="2"/>
  <c r="O65" i="2" s="1"/>
  <c r="J64" i="2"/>
  <c r="I64" i="2"/>
  <c r="H64" i="2"/>
  <c r="G64" i="2"/>
  <c r="F64" i="2"/>
  <c r="D64" i="2"/>
  <c r="C64" i="2"/>
  <c r="N64" i="2" s="1"/>
  <c r="J63" i="2"/>
  <c r="I63" i="2"/>
  <c r="H63" i="2"/>
  <c r="G63" i="2"/>
  <c r="F63" i="2"/>
  <c r="D63" i="2"/>
  <c r="C63" i="2"/>
  <c r="J62" i="2"/>
  <c r="I62" i="2"/>
  <c r="H62" i="2"/>
  <c r="G62" i="2"/>
  <c r="F62" i="2"/>
  <c r="D62" i="2"/>
  <c r="C62" i="2"/>
  <c r="O62" i="2" s="1"/>
  <c r="J61" i="2"/>
  <c r="I61" i="2"/>
  <c r="H61" i="2"/>
  <c r="G61" i="2"/>
  <c r="F61" i="2"/>
  <c r="D61" i="2"/>
  <c r="C61" i="2"/>
  <c r="O61" i="2" s="1"/>
  <c r="J60" i="2"/>
  <c r="I60" i="2"/>
  <c r="H60" i="2"/>
  <c r="G60" i="2"/>
  <c r="F60" i="2"/>
  <c r="D60" i="2"/>
  <c r="C60" i="2"/>
  <c r="O60" i="2" s="1"/>
  <c r="J59" i="2"/>
  <c r="I59" i="2"/>
  <c r="H59" i="2"/>
  <c r="G59" i="2"/>
  <c r="F59" i="2"/>
  <c r="D59" i="2"/>
  <c r="C59" i="2"/>
  <c r="O59" i="2" s="1"/>
  <c r="J58" i="2"/>
  <c r="I58" i="2"/>
  <c r="H58" i="2"/>
  <c r="G58" i="2"/>
  <c r="F58" i="2"/>
  <c r="D58" i="2"/>
  <c r="C58" i="2"/>
  <c r="N58" i="2" s="1"/>
  <c r="J57" i="2"/>
  <c r="I57" i="2"/>
  <c r="H57" i="2"/>
  <c r="G57" i="2"/>
  <c r="F57" i="2"/>
  <c r="D57" i="2"/>
  <c r="C57" i="2"/>
  <c r="O57" i="2" s="1"/>
  <c r="J56" i="2"/>
  <c r="I56" i="2"/>
  <c r="H56" i="2"/>
  <c r="G56" i="2"/>
  <c r="F56" i="2"/>
  <c r="D56" i="2"/>
  <c r="C56" i="2"/>
  <c r="O56" i="2" s="1"/>
  <c r="J55" i="2"/>
  <c r="I55" i="2"/>
  <c r="H55" i="2"/>
  <c r="G55" i="2"/>
  <c r="F55" i="2"/>
  <c r="D55" i="2"/>
  <c r="C55" i="2"/>
  <c r="N55" i="2" s="1"/>
  <c r="J54" i="2"/>
  <c r="I54" i="2"/>
  <c r="H54" i="2"/>
  <c r="G54" i="2"/>
  <c r="F54" i="2"/>
  <c r="D54" i="2"/>
  <c r="C54" i="2"/>
  <c r="N54" i="2" s="1"/>
  <c r="J53" i="2"/>
  <c r="I53" i="2"/>
  <c r="H53" i="2"/>
  <c r="G53" i="2"/>
  <c r="F53" i="2"/>
  <c r="D53" i="2"/>
  <c r="C53" i="2"/>
  <c r="N53" i="2" s="1"/>
  <c r="J52" i="2"/>
  <c r="I52" i="2"/>
  <c r="H52" i="2"/>
  <c r="G52" i="2"/>
  <c r="F52" i="2"/>
  <c r="D52" i="2"/>
  <c r="C52" i="2"/>
  <c r="N52" i="2" s="1"/>
  <c r="J51" i="2"/>
  <c r="I51" i="2"/>
  <c r="H51" i="2"/>
  <c r="G51" i="2"/>
  <c r="F51" i="2"/>
  <c r="D51" i="2"/>
  <c r="C51" i="2"/>
  <c r="O51" i="2" s="1"/>
  <c r="J50" i="2"/>
  <c r="I50" i="2"/>
  <c r="H50" i="2"/>
  <c r="G50" i="2"/>
  <c r="F50" i="2"/>
  <c r="D50" i="2"/>
  <c r="C50" i="2"/>
  <c r="O50" i="2" s="1"/>
  <c r="J49" i="2"/>
  <c r="I49" i="2"/>
  <c r="H49" i="2"/>
  <c r="G49" i="2"/>
  <c r="F49" i="2"/>
  <c r="D49" i="2"/>
  <c r="C49" i="2"/>
  <c r="N49" i="2" s="1"/>
  <c r="J48" i="2"/>
  <c r="I48" i="2"/>
  <c r="H48" i="2"/>
  <c r="G48" i="2"/>
  <c r="F48" i="2"/>
  <c r="D48" i="2"/>
  <c r="C48" i="2"/>
  <c r="O48" i="2" s="1"/>
  <c r="J47" i="2"/>
  <c r="I47" i="2"/>
  <c r="H47" i="2"/>
  <c r="G47" i="2"/>
  <c r="F47" i="2"/>
  <c r="D47" i="2"/>
  <c r="C47" i="2"/>
  <c r="N47" i="2" s="1"/>
  <c r="J46" i="2"/>
  <c r="I46" i="2"/>
  <c r="H46" i="2"/>
  <c r="G46" i="2"/>
  <c r="F46" i="2"/>
  <c r="D46" i="2"/>
  <c r="C46" i="2"/>
  <c r="N46" i="2" s="1"/>
  <c r="J45" i="2"/>
  <c r="I45" i="2"/>
  <c r="H45" i="2"/>
  <c r="G45" i="2"/>
  <c r="F45" i="2"/>
  <c r="D45" i="2"/>
  <c r="C45" i="2"/>
  <c r="O45" i="2" s="1"/>
  <c r="J44" i="2"/>
  <c r="I44" i="2"/>
  <c r="H44" i="2"/>
  <c r="G44" i="2"/>
  <c r="F44" i="2"/>
  <c r="D44" i="2"/>
  <c r="C44" i="2"/>
  <c r="O44" i="2" s="1"/>
  <c r="J43" i="2"/>
  <c r="I43" i="2"/>
  <c r="H43" i="2"/>
  <c r="G43" i="2"/>
  <c r="F43" i="2"/>
  <c r="D43" i="2"/>
  <c r="C43" i="2"/>
  <c r="N43" i="2" s="1"/>
  <c r="J42" i="2"/>
  <c r="I42" i="2"/>
  <c r="H42" i="2"/>
  <c r="G42" i="2"/>
  <c r="F42" i="2"/>
  <c r="D42" i="2"/>
  <c r="C42" i="2"/>
  <c r="N42" i="2" s="1"/>
  <c r="J41" i="2"/>
  <c r="I41" i="2"/>
  <c r="H41" i="2"/>
  <c r="G41" i="2"/>
  <c r="F41" i="2"/>
  <c r="D41" i="2"/>
  <c r="C41" i="2"/>
  <c r="O41" i="2" s="1"/>
  <c r="J40" i="2"/>
  <c r="I40" i="2"/>
  <c r="H40" i="2"/>
  <c r="G40" i="2"/>
  <c r="F40" i="2"/>
  <c r="D40" i="2"/>
  <c r="C40" i="2"/>
  <c r="N40" i="2" s="1"/>
  <c r="J39" i="2"/>
  <c r="I39" i="2"/>
  <c r="H39" i="2"/>
  <c r="G39" i="2"/>
  <c r="F39" i="2"/>
  <c r="D39" i="2"/>
  <c r="C39" i="2"/>
  <c r="O39" i="2" s="1"/>
  <c r="J38" i="2"/>
  <c r="I38" i="2"/>
  <c r="H38" i="2"/>
  <c r="G38" i="2"/>
  <c r="F38" i="2"/>
  <c r="D38" i="2"/>
  <c r="C38" i="2"/>
  <c r="O38" i="2" s="1"/>
  <c r="J37" i="2"/>
  <c r="I37" i="2"/>
  <c r="H37" i="2"/>
  <c r="G37" i="2"/>
  <c r="F37" i="2"/>
  <c r="D37" i="2"/>
  <c r="C37" i="2"/>
  <c r="N37" i="2" s="1"/>
  <c r="J36" i="2"/>
  <c r="I36" i="2"/>
  <c r="H36" i="2"/>
  <c r="G36" i="2"/>
  <c r="F36" i="2"/>
  <c r="D36" i="2"/>
  <c r="C36" i="2"/>
  <c r="O36" i="2" s="1"/>
  <c r="J35" i="2"/>
  <c r="I35" i="2"/>
  <c r="H35" i="2"/>
  <c r="G35" i="2"/>
  <c r="F35" i="2"/>
  <c r="D35" i="2"/>
  <c r="C35" i="2"/>
  <c r="N35" i="2" s="1"/>
  <c r="J34" i="2"/>
  <c r="I34" i="2"/>
  <c r="H34" i="2"/>
  <c r="G34" i="2"/>
  <c r="F34" i="2"/>
  <c r="D34" i="2"/>
  <c r="C34" i="2"/>
  <c r="N34" i="2" s="1"/>
  <c r="J33" i="2"/>
  <c r="I33" i="2"/>
  <c r="H33" i="2"/>
  <c r="G33" i="2"/>
  <c r="F33" i="2"/>
  <c r="D33" i="2"/>
  <c r="C33" i="2"/>
  <c r="O33" i="2" s="1"/>
  <c r="J32" i="2"/>
  <c r="I32" i="2"/>
  <c r="H32" i="2"/>
  <c r="G32" i="2"/>
  <c r="F32" i="2"/>
  <c r="D32" i="2"/>
  <c r="C32" i="2"/>
  <c r="O32" i="2" s="1"/>
  <c r="J31" i="2"/>
  <c r="I31" i="2"/>
  <c r="H31" i="2"/>
  <c r="G31" i="2"/>
  <c r="F31" i="2"/>
  <c r="D31" i="2"/>
  <c r="C31" i="2"/>
  <c r="N31" i="2" s="1"/>
  <c r="J30" i="2"/>
  <c r="I30" i="2"/>
  <c r="H30" i="2"/>
  <c r="G30" i="2"/>
  <c r="F30" i="2"/>
  <c r="D30" i="2"/>
  <c r="C30" i="2"/>
  <c r="O30" i="2" s="1"/>
  <c r="J29" i="2"/>
  <c r="I29" i="2"/>
  <c r="H29" i="2"/>
  <c r="G29" i="2"/>
  <c r="F29" i="2"/>
  <c r="D29" i="2"/>
  <c r="C29" i="2"/>
  <c r="N29" i="2" s="1"/>
  <c r="J28" i="2"/>
  <c r="I28" i="2"/>
  <c r="H28" i="2"/>
  <c r="G28" i="2"/>
  <c r="F28" i="2"/>
  <c r="D28" i="2"/>
  <c r="C28" i="2"/>
  <c r="N28" i="2" s="1"/>
  <c r="J27" i="2"/>
  <c r="I27" i="2"/>
  <c r="H27" i="2"/>
  <c r="G27" i="2"/>
  <c r="F27" i="2"/>
  <c r="D27" i="2"/>
  <c r="C27" i="2"/>
  <c r="J26" i="2"/>
  <c r="I26" i="2"/>
  <c r="H26" i="2"/>
  <c r="G26" i="2"/>
  <c r="F26" i="2"/>
  <c r="D26" i="2"/>
  <c r="C26" i="2"/>
  <c r="O26" i="2" s="1"/>
  <c r="J25" i="2"/>
  <c r="I25" i="2"/>
  <c r="H25" i="2"/>
  <c r="G25" i="2"/>
  <c r="F25" i="2"/>
  <c r="D25" i="2"/>
  <c r="C25" i="2"/>
  <c r="N25" i="2" s="1"/>
  <c r="J24" i="2"/>
  <c r="I24" i="2"/>
  <c r="H24" i="2"/>
  <c r="G24" i="2"/>
  <c r="F24" i="2"/>
  <c r="D24" i="2"/>
  <c r="C24" i="2"/>
  <c r="N24" i="2" s="1"/>
  <c r="J23" i="2"/>
  <c r="I23" i="2"/>
  <c r="H23" i="2"/>
  <c r="G23" i="2"/>
  <c r="F23" i="2"/>
  <c r="D23" i="2"/>
  <c r="C23" i="2"/>
  <c r="O23" i="2" s="1"/>
  <c r="J22" i="2"/>
  <c r="I22" i="2"/>
  <c r="H22" i="2"/>
  <c r="G22" i="2"/>
  <c r="F22" i="2"/>
  <c r="D22" i="2"/>
  <c r="C22" i="2"/>
  <c r="N22" i="2" s="1"/>
  <c r="J21" i="2"/>
  <c r="I21" i="2"/>
  <c r="H21" i="2"/>
  <c r="G21" i="2"/>
  <c r="F21" i="2"/>
  <c r="D21" i="2"/>
  <c r="C21" i="2"/>
  <c r="O21" i="2" s="1"/>
  <c r="J20" i="2"/>
  <c r="I20" i="2"/>
  <c r="H20" i="2"/>
  <c r="G20" i="2"/>
  <c r="F20" i="2"/>
  <c r="D20" i="2"/>
  <c r="C20" i="2"/>
  <c r="N20" i="2" s="1"/>
  <c r="J19" i="2"/>
  <c r="I19" i="2"/>
  <c r="H19" i="2"/>
  <c r="G19" i="2"/>
  <c r="F19" i="2"/>
  <c r="D19" i="2"/>
  <c r="C19" i="2"/>
  <c r="N19" i="2" s="1"/>
  <c r="J18" i="2"/>
  <c r="I18" i="2"/>
  <c r="H18" i="2"/>
  <c r="G18" i="2"/>
  <c r="F18" i="2"/>
  <c r="D18" i="2"/>
  <c r="C18" i="2"/>
  <c r="O18" i="2" s="1"/>
  <c r="J17" i="2"/>
  <c r="I17" i="2"/>
  <c r="H17" i="2"/>
  <c r="G17" i="2"/>
  <c r="F17" i="2"/>
  <c r="D17" i="2"/>
  <c r="C17" i="2"/>
  <c r="O17" i="2" s="1"/>
  <c r="J16" i="2"/>
  <c r="I16" i="2"/>
  <c r="H16" i="2"/>
  <c r="G16" i="2"/>
  <c r="F16" i="2"/>
  <c r="D16" i="2"/>
  <c r="C16" i="2"/>
  <c r="N16" i="2" s="1"/>
  <c r="J15" i="2"/>
  <c r="I15" i="2"/>
  <c r="H15" i="2"/>
  <c r="G15" i="2"/>
  <c r="F15" i="2"/>
  <c r="D15" i="2"/>
  <c r="C15" i="2"/>
  <c r="O15" i="2" s="1"/>
  <c r="J14" i="2"/>
  <c r="I14" i="2"/>
  <c r="H14" i="2"/>
  <c r="G14" i="2"/>
  <c r="F14" i="2"/>
  <c r="D14" i="2"/>
  <c r="C14" i="2"/>
  <c r="O14" i="2" s="1"/>
  <c r="J13" i="2"/>
  <c r="I13" i="2"/>
  <c r="H13" i="2"/>
  <c r="G13" i="2"/>
  <c r="F13" i="2"/>
  <c r="D13" i="2"/>
  <c r="C13" i="2"/>
  <c r="N13" i="2" s="1"/>
  <c r="J12" i="2"/>
  <c r="I12" i="2"/>
  <c r="H12" i="2"/>
  <c r="G12" i="2"/>
  <c r="F12" i="2"/>
  <c r="D12" i="2"/>
  <c r="C12" i="2"/>
  <c r="O12" i="2" s="1"/>
  <c r="J11" i="2"/>
  <c r="I11" i="2"/>
  <c r="H11" i="2"/>
  <c r="G11" i="2"/>
  <c r="F11" i="2"/>
  <c r="D11" i="2"/>
  <c r="C11" i="2"/>
  <c r="O11" i="2" s="1"/>
  <c r="J10" i="2"/>
  <c r="I10" i="2"/>
  <c r="H10" i="2"/>
  <c r="G10" i="2"/>
  <c r="F10" i="2"/>
  <c r="D10" i="2"/>
  <c r="C10" i="2"/>
  <c r="N10" i="2" s="1"/>
  <c r="J9" i="2"/>
  <c r="I9" i="2"/>
  <c r="H9" i="2"/>
  <c r="G9" i="2"/>
  <c r="F9" i="2"/>
  <c r="D9" i="2"/>
  <c r="C9" i="2"/>
  <c r="N9" i="2" s="1"/>
  <c r="J8" i="2"/>
  <c r="I8" i="2"/>
  <c r="H8" i="2"/>
  <c r="G8" i="2"/>
  <c r="F8" i="2"/>
  <c r="D8" i="2"/>
  <c r="C8" i="2"/>
  <c r="O8" i="2" s="1"/>
  <c r="J7" i="2"/>
  <c r="I7" i="2"/>
  <c r="H7" i="2"/>
  <c r="G7" i="2"/>
  <c r="F7" i="2"/>
  <c r="D7" i="2"/>
  <c r="C7" i="2"/>
  <c r="N7" i="2" s="1"/>
  <c r="J6" i="2"/>
  <c r="I6" i="2"/>
  <c r="G6" i="2"/>
  <c r="D6" i="2"/>
  <c r="C6" i="2"/>
  <c r="N6" i="2" s="1"/>
  <c r="O5" i="2"/>
  <c r="H5" i="2" s="1"/>
  <c r="N5" i="2"/>
  <c r="G5" i="2" s="1"/>
  <c r="J5" i="2"/>
  <c r="I5" i="2"/>
  <c r="D5" i="2"/>
  <c r="O54" i="2" l="1"/>
  <c r="N59" i="2"/>
  <c r="N138" i="2"/>
  <c r="O148" i="2"/>
  <c r="O177" i="2"/>
  <c r="M195" i="2"/>
  <c r="O192" i="2"/>
  <c r="O196" i="2"/>
  <c r="M192" i="2"/>
  <c r="N51" i="2"/>
  <c r="N203" i="2"/>
  <c r="N48" i="2"/>
  <c r="N195" i="2"/>
  <c r="M27" i="2"/>
  <c r="N189" i="2"/>
  <c r="N18" i="2"/>
  <c r="M15" i="2"/>
  <c r="N15" i="2"/>
  <c r="N23" i="2"/>
  <c r="N65" i="2"/>
  <c r="O29" i="2"/>
  <c r="M63" i="2"/>
  <c r="N66" i="2"/>
  <c r="O76" i="2"/>
  <c r="O132" i="2"/>
  <c r="N60" i="2"/>
  <c r="M65" i="2"/>
  <c r="O120" i="2"/>
  <c r="O63" i="2"/>
  <c r="O105" i="2"/>
  <c r="M59" i="2"/>
  <c r="M137" i="2"/>
  <c r="N12" i="2"/>
  <c r="M131" i="2"/>
  <c r="M123" i="2"/>
  <c r="N137" i="2"/>
  <c r="O9" i="2"/>
  <c r="M120" i="2"/>
  <c r="N131" i="2"/>
  <c r="M12" i="2"/>
  <c r="N123" i="2"/>
  <c r="M135" i="2"/>
  <c r="O124" i="2"/>
  <c r="O69" i="2"/>
  <c r="M132" i="2"/>
  <c r="O6" i="2"/>
  <c r="H6" i="2" s="1"/>
  <c r="O117" i="2"/>
  <c r="O149" i="2"/>
  <c r="O166" i="2"/>
  <c r="M11" i="2"/>
  <c r="M60" i="2"/>
  <c r="N11" i="2"/>
  <c r="N171" i="2"/>
  <c r="O42" i="2"/>
  <c r="O77" i="2"/>
  <c r="O94" i="2"/>
  <c r="N99" i="2"/>
  <c r="M150" i="2"/>
  <c r="M78" i="2"/>
  <c r="O141" i="2"/>
  <c r="M47" i="2"/>
  <c r="N114" i="2"/>
  <c r="N155" i="2"/>
  <c r="N186" i="2"/>
  <c r="N36" i="2"/>
  <c r="O47" i="2"/>
  <c r="O83" i="2"/>
  <c r="O106" i="2"/>
  <c r="M113" i="2"/>
  <c r="O160" i="2"/>
  <c r="O178" i="2"/>
  <c r="M185" i="2"/>
  <c r="N27" i="2"/>
  <c r="N33" i="2"/>
  <c r="N41" i="2"/>
  <c r="M45" i="2"/>
  <c r="M105" i="2"/>
  <c r="M177" i="2"/>
  <c r="N113" i="2"/>
  <c r="M149" i="2"/>
  <c r="M153" i="2"/>
  <c r="N185" i="2"/>
  <c r="M9" i="2"/>
  <c r="O88" i="2"/>
  <c r="O27" i="2"/>
  <c r="N30" i="2"/>
  <c r="M77" i="2"/>
  <c r="M81" i="2"/>
  <c r="M18" i="2"/>
  <c r="O24" i="2"/>
  <c r="M29" i="2"/>
  <c r="N63" i="2"/>
  <c r="M96" i="2"/>
  <c r="N135" i="2"/>
  <c r="M168" i="2"/>
  <c r="M191" i="2"/>
  <c r="M102" i="2"/>
  <c r="M119" i="2"/>
  <c r="M174" i="2"/>
  <c r="O58" i="2"/>
  <c r="N102" i="2"/>
  <c r="N119" i="2"/>
  <c r="O130" i="2"/>
  <c r="N168" i="2"/>
  <c r="N174" i="2"/>
  <c r="N191" i="2"/>
  <c r="O202" i="2"/>
  <c r="O40" i="2"/>
  <c r="M84" i="2"/>
  <c r="O96" i="2"/>
  <c r="M101" i="2"/>
  <c r="M117" i="2"/>
  <c r="M156" i="2"/>
  <c r="O168" i="2"/>
  <c r="M173" i="2"/>
  <c r="O22" i="2"/>
  <c r="O49" i="2"/>
  <c r="O52" i="2"/>
  <c r="M114" i="2"/>
  <c r="N159" i="2"/>
  <c r="M186" i="2"/>
  <c r="O31" i="2"/>
  <c r="O34" i="2"/>
  <c r="O37" i="2"/>
  <c r="M48" i="2"/>
  <c r="M51" i="2"/>
  <c r="M54" i="2"/>
  <c r="M69" i="2"/>
  <c r="N78" i="2"/>
  <c r="O81" i="2"/>
  <c r="N84" i="2"/>
  <c r="O87" i="2"/>
  <c r="N95" i="2"/>
  <c r="N101" i="2"/>
  <c r="O112" i="2"/>
  <c r="M141" i="2"/>
  <c r="N150" i="2"/>
  <c r="O153" i="2"/>
  <c r="N156" i="2"/>
  <c r="N167" i="2"/>
  <c r="N173" i="2"/>
  <c r="O184" i="2"/>
  <c r="M87" i="2"/>
  <c r="N96" i="2"/>
  <c r="M159" i="2"/>
  <c r="M189" i="2"/>
  <c r="M203" i="2"/>
  <c r="O55" i="2"/>
  <c r="O70" i="2"/>
  <c r="N81" i="2"/>
  <c r="M95" i="2"/>
  <c r="O142" i="2"/>
  <c r="N153" i="2"/>
  <c r="M167" i="2"/>
  <c r="O13" i="2"/>
  <c r="O16" i="2"/>
  <c r="O19" i="2"/>
  <c r="M30" i="2"/>
  <c r="M33" i="2"/>
  <c r="M36" i="2"/>
  <c r="N45" i="2"/>
  <c r="M66" i="2"/>
  <c r="O78" i="2"/>
  <c r="M83" i="2"/>
  <c r="M99" i="2"/>
  <c r="M138" i="2"/>
  <c r="O150" i="2"/>
  <c r="M155" i="2"/>
  <c r="M171" i="2"/>
  <c r="M17" i="2"/>
  <c r="M21" i="2"/>
  <c r="M35" i="2"/>
  <c r="M39" i="2"/>
  <c r="M53" i="2"/>
  <c r="M57" i="2"/>
  <c r="M72" i="2"/>
  <c r="M75" i="2"/>
  <c r="M90" i="2"/>
  <c r="M93" i="2"/>
  <c r="M108" i="2"/>
  <c r="M111" i="2"/>
  <c r="M126" i="2"/>
  <c r="M129" i="2"/>
  <c r="M144" i="2"/>
  <c r="M147" i="2"/>
  <c r="M162" i="2"/>
  <c r="M165" i="2"/>
  <c r="M180" i="2"/>
  <c r="M183" i="2"/>
  <c r="M198" i="2"/>
  <c r="M201" i="2"/>
  <c r="O7" i="2"/>
  <c r="N21" i="2"/>
  <c r="O25" i="2"/>
  <c r="N39" i="2"/>
  <c r="O43" i="2"/>
  <c r="N57" i="2"/>
  <c r="N72" i="2"/>
  <c r="N75" i="2"/>
  <c r="N90" i="2"/>
  <c r="N93" i="2"/>
  <c r="N108" i="2"/>
  <c r="N111" i="2"/>
  <c r="N126" i="2"/>
  <c r="N129" i="2"/>
  <c r="N144" i="2"/>
  <c r="N147" i="2"/>
  <c r="N162" i="2"/>
  <c r="N165" i="2"/>
  <c r="N180" i="2"/>
  <c r="N183" i="2"/>
  <c r="N198" i="2"/>
  <c r="O10" i="2"/>
  <c r="N17" i="2"/>
  <c r="O28" i="2"/>
  <c r="M89" i="2"/>
  <c r="O100" i="2"/>
  <c r="M125" i="2"/>
  <c r="O136" i="2"/>
  <c r="M161" i="2"/>
  <c r="O172" i="2"/>
  <c r="M197" i="2"/>
  <c r="M204" i="2"/>
  <c r="M24" i="2"/>
  <c r="O35" i="2"/>
  <c r="M42" i="2"/>
  <c r="O53" i="2"/>
  <c r="N71" i="2"/>
  <c r="N89" i="2"/>
  <c r="N107" i="2"/>
  <c r="N125" i="2"/>
  <c r="N143" i="2"/>
  <c r="N161" i="2"/>
  <c r="N179" i="2"/>
  <c r="N197" i="2"/>
  <c r="N204" i="2"/>
  <c r="O46" i="2"/>
  <c r="O64" i="2"/>
  <c r="M71" i="2"/>
  <c r="O82" i="2"/>
  <c r="M107" i="2"/>
  <c r="O118" i="2"/>
  <c r="M143" i="2"/>
  <c r="O154" i="2"/>
  <c r="M179" i="2"/>
  <c r="O190" i="2"/>
  <c r="M6" i="2"/>
  <c r="F6" i="2" s="1"/>
  <c r="M23" i="2"/>
  <c r="M41" i="2"/>
  <c r="M5" i="2"/>
  <c r="F5" i="2" s="1"/>
  <c r="M22" i="2"/>
  <c r="M28" i="2"/>
  <c r="M40" i="2"/>
  <c r="M58" i="2"/>
  <c r="M64" i="2"/>
  <c r="M82" i="2"/>
  <c r="M88" i="2"/>
  <c r="M94" i="2"/>
  <c r="M100" i="2"/>
  <c r="M106" i="2"/>
  <c r="M112" i="2"/>
  <c r="M118" i="2"/>
  <c r="M124" i="2"/>
  <c r="M130" i="2"/>
  <c r="M136" i="2"/>
  <c r="M142" i="2"/>
  <c r="M148" i="2"/>
  <c r="M154" i="2"/>
  <c r="M160" i="2"/>
  <c r="M166" i="2"/>
  <c r="M172" i="2"/>
  <c r="M178" i="2"/>
  <c r="M184" i="2"/>
  <c r="M190" i="2"/>
  <c r="M196" i="2"/>
  <c r="M202" i="2"/>
  <c r="M10" i="2"/>
  <c r="M16" i="2"/>
  <c r="M34" i="2"/>
  <c r="M46" i="2"/>
  <c r="M52" i="2"/>
  <c r="M70" i="2"/>
  <c r="M76" i="2"/>
  <c r="N201" i="2"/>
  <c r="M26" i="2"/>
  <c r="M50" i="2"/>
  <c r="M56" i="2"/>
  <c r="M62" i="2"/>
  <c r="M68" i="2"/>
  <c r="M74" i="2"/>
  <c r="M80" i="2"/>
  <c r="M86" i="2"/>
  <c r="M92" i="2"/>
  <c r="M98" i="2"/>
  <c r="M104" i="2"/>
  <c r="M110" i="2"/>
  <c r="M116" i="2"/>
  <c r="M122" i="2"/>
  <c r="M128" i="2"/>
  <c r="M134" i="2"/>
  <c r="M140" i="2"/>
  <c r="M146" i="2"/>
  <c r="M152" i="2"/>
  <c r="M158" i="2"/>
  <c r="M164" i="2"/>
  <c r="M170" i="2"/>
  <c r="M176" i="2"/>
  <c r="M182" i="2"/>
  <c r="M188" i="2"/>
  <c r="M194" i="2"/>
  <c r="M200" i="2"/>
  <c r="M14" i="2"/>
  <c r="M38" i="2"/>
  <c r="N14" i="2"/>
  <c r="N32" i="2"/>
  <c r="N56" i="2"/>
  <c r="N86" i="2"/>
  <c r="M8" i="2"/>
  <c r="M32" i="2"/>
  <c r="N8" i="2"/>
  <c r="N38" i="2"/>
  <c r="N50" i="2"/>
  <c r="N68" i="2"/>
  <c r="N128" i="2"/>
  <c r="N140" i="2"/>
  <c r="N152" i="2"/>
  <c r="N164" i="2"/>
  <c r="N176" i="2"/>
  <c r="M7" i="2"/>
  <c r="M13" i="2"/>
  <c r="O20" i="2"/>
  <c r="M31" i="2"/>
  <c r="M37" i="2"/>
  <c r="M43" i="2"/>
  <c r="M49" i="2"/>
  <c r="M67" i="2"/>
  <c r="M73" i="2"/>
  <c r="M79" i="2"/>
  <c r="M85" i="2"/>
  <c r="M91" i="2"/>
  <c r="O98" i="2"/>
  <c r="O104" i="2"/>
  <c r="M109" i="2"/>
  <c r="O110" i="2"/>
  <c r="M115" i="2"/>
  <c r="O116" i="2"/>
  <c r="M121" i="2"/>
  <c r="O122" i="2"/>
  <c r="M127" i="2"/>
  <c r="M133" i="2"/>
  <c r="O134" i="2"/>
  <c r="M139" i="2"/>
  <c r="M145" i="2"/>
  <c r="O146" i="2"/>
  <c r="M151" i="2"/>
  <c r="M157" i="2"/>
  <c r="O158" i="2"/>
  <c r="M163" i="2"/>
  <c r="M169" i="2"/>
  <c r="O170" i="2"/>
  <c r="M175" i="2"/>
  <c r="M181" i="2"/>
  <c r="O182" i="2"/>
  <c r="M187" i="2"/>
  <c r="O188" i="2"/>
  <c r="M193" i="2"/>
  <c r="O194" i="2"/>
  <c r="M199" i="2"/>
  <c r="O200" i="2"/>
  <c r="M20" i="2"/>
  <c r="M44" i="2"/>
  <c r="N26" i="2"/>
  <c r="N44" i="2"/>
  <c r="N62" i="2"/>
  <c r="N74" i="2"/>
  <c r="N80" i="2"/>
  <c r="N92" i="2"/>
  <c r="M19" i="2"/>
  <c r="M25" i="2"/>
  <c r="M55" i="2"/>
  <c r="M61" i="2"/>
  <c r="M97" i="2"/>
  <c r="M103" i="2"/>
  <c r="N61" i="2"/>
  <c r="N67" i="2"/>
  <c r="N73" i="2"/>
  <c r="N79" i="2"/>
  <c r="N85" i="2"/>
  <c r="N91" i="2"/>
  <c r="N97" i="2"/>
  <c r="N103" i="2"/>
  <c r="N109" i="2"/>
  <c r="N115" i="2"/>
  <c r="N121" i="2"/>
  <c r="N127" i="2"/>
  <c r="N133" i="2"/>
  <c r="N139" i="2"/>
  <c r="N145" i="2"/>
  <c r="N151" i="2"/>
  <c r="N157" i="2"/>
  <c r="N163" i="2"/>
  <c r="N169" i="2"/>
  <c r="N175" i="2"/>
  <c r="N181" i="2"/>
  <c r="N187" i="2"/>
  <c r="N193" i="2"/>
  <c r="N199" i="2"/>
</calcChain>
</file>

<file path=xl/sharedStrings.xml><?xml version="1.0" encoding="utf-8"?>
<sst xmlns="http://schemas.openxmlformats.org/spreadsheetml/2006/main" count="124" uniqueCount="85">
  <si>
    <t>Precio mayor</t>
  </si>
  <si>
    <t>Pureza</t>
  </si>
  <si>
    <t>Sustancia tipo</t>
  </si>
  <si>
    <t>Riqueza</t>
  </si>
  <si>
    <t>Gramos no fiscalizado</t>
  </si>
  <si>
    <t>DE CORTE 1</t>
  </si>
  <si>
    <t>DE CORTE 2</t>
  </si>
  <si>
    <t>DE CORTE 3</t>
  </si>
  <si>
    <t>DATOS INFORME</t>
  </si>
  <si>
    <t>EXPTE INFORME ANALITICO</t>
  </si>
  <si>
    <t>AUTORIDAD JUDICIAL</t>
  </si>
  <si>
    <t>T.I.P.</t>
  </si>
  <si>
    <t>Fecha del oficio</t>
  </si>
  <si>
    <t>NOMBRE PRESO</t>
  </si>
  <si>
    <t>DNI PRESO</t>
  </si>
  <si>
    <t>NUMERO ATESTADO</t>
  </si>
  <si>
    <t>FECHA ATESTADO</t>
  </si>
  <si>
    <t>Fecha de deposito de la sustancia</t>
  </si>
  <si>
    <t>FECHA INFORME ANALITICO</t>
  </si>
  <si>
    <t>Semestre</t>
  </si>
  <si>
    <t>Numero de orden</t>
  </si>
  <si>
    <t>Tipo de venta</t>
  </si>
  <si>
    <t>JUZGADO DE PRIMERA INSTANCIA E INSTRUCCION N 1 PICASSENT (VALENCIA)</t>
  </si>
  <si>
    <t>PRIMER SEMESTRE DEL ANO 2026</t>
  </si>
  <si>
    <t>a por menor</t>
  </si>
  <si>
    <t>Dosis</t>
  </si>
  <si>
    <t>Gramos</t>
  </si>
  <si>
    <t>Kilogramos</t>
  </si>
  <si>
    <t>Sustancias</t>
  </si>
  <si>
    <t>Peso</t>
  </si>
  <si>
    <t>Precio</t>
  </si>
  <si>
    <t>Fuerza</t>
  </si>
  <si>
    <t>Cocaína</t>
  </si>
  <si>
    <t>Heroína</t>
  </si>
  <si>
    <t>Hachís</t>
  </si>
  <si>
    <t>Aceite Hachís</t>
  </si>
  <si>
    <t>Grifa</t>
  </si>
  <si>
    <t>Marihuana</t>
  </si>
  <si>
    <t>L.S.D</t>
  </si>
  <si>
    <t>Fármaco Anfetamínico</t>
  </si>
  <si>
    <t>MDMA/Éxtasis</t>
  </si>
  <si>
    <t>Speed</t>
  </si>
  <si>
    <t>Otros Fármacos</t>
  </si>
  <si>
    <t>Ketamina</t>
  </si>
  <si>
    <t>GHB</t>
  </si>
  <si>
    <t>Lista I CU 1961</t>
  </si>
  <si>
    <t>Lista I Y IV CU 1961</t>
  </si>
  <si>
    <t>Datos adicionales</t>
  </si>
  <si>
    <t>Clasificacion legal</t>
  </si>
  <si>
    <t>Sustancia no fiscalizada</t>
  </si>
  <si>
    <t>Lista IV C 1971</t>
  </si>
  <si>
    <t>Si</t>
  </si>
  <si>
    <t>No</t>
  </si>
  <si>
    <t>lista II C 1971</t>
  </si>
  <si>
    <t>Lista IV Anexo I RD 2829/1977</t>
  </si>
  <si>
    <t>Lista IV C 1972</t>
  </si>
  <si>
    <t>Pregabalina</t>
  </si>
  <si>
    <t>Sustancia no sometida a fiscalizacion</t>
  </si>
  <si>
    <t>Gabapeina</t>
  </si>
  <si>
    <t>Quetiapina</t>
  </si>
  <si>
    <t>Marihuana sintetica</t>
  </si>
  <si>
    <t>Lista II C 1971</t>
  </si>
  <si>
    <t>Fluoxetina</t>
  </si>
  <si>
    <t>Alprazolam</t>
  </si>
  <si>
    <t>Lorazepam</t>
  </si>
  <si>
    <t>Diazepam</t>
  </si>
  <si>
    <t>250mgr</t>
  </si>
  <si>
    <t>Precio Unidad</t>
  </si>
  <si>
    <t>Envoltorio</t>
  </si>
  <si>
    <t>Sustancia</t>
  </si>
  <si>
    <t>Peso neto</t>
  </si>
  <si>
    <t>Menor gramos</t>
  </si>
  <si>
    <t>Menor dosis</t>
  </si>
  <si>
    <t>Calificacion legal</t>
  </si>
  <si>
    <t>C40606T</t>
  </si>
  <si>
    <t>412/2026</t>
  </si>
  <si>
    <t xml:space="preserve">miguel angel ciezar </t>
  </si>
  <si>
    <t>105/23</t>
  </si>
  <si>
    <t>14 de marzo del 2026</t>
  </si>
  <si>
    <t>16 de marzo del 2026</t>
  </si>
  <si>
    <t>25 de marzo del 2026</t>
  </si>
  <si>
    <t>30 de marzo del 2026</t>
  </si>
  <si>
    <t xml:space="preserve">Papel impregnado </t>
  </si>
  <si>
    <t>112/2025</t>
  </si>
  <si>
    <t xml:space="preserve">DILIGENCIA PREVIA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</si>
</sst>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D9FF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10" fontId="0" fillId="0" borderId="1" xfId="0" applyNumberFormat="1" applyBorder="1"/>
    <xf numFmtId="164" fontId="0" fillId="0" borderId="1" xfId="0" applyNumberFormat="1" applyBorder="1"/>
    <xf numFmtId="4" fontId="0" fillId="0" borderId="1" xfId="0" applyNumberFormat="1" applyBorder="1"/>
    <xf numFmtId="0" fontId="1" fillId="3" borderId="1" xfId="0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4" fontId="1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/>
    </xf>
    <xf numFmtId="49" fontId="0" fillId="0" borderId="1" xfId="0" applyNumberFormat="1" applyBorder="1"/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50800</xdr:rowOff>
    </xdr:from>
    <xdr:to>
      <xdr:col>2</xdr:col>
      <xdr:colOff>0</xdr:colOff>
      <xdr:row>19</xdr:row>
      <xdr:rowOff>101600</xdr:rowOff>
    </xdr:to>
    <xdr:sp macro="CrearInformeWordDesdeExcel" textlink="">
      <xdr:nvSpPr>
        <xdr:cNvPr id="2" name="btnGenerarInformeWord">
          <a:extLst>
            <a:ext uri="{FF2B5EF4-FFF2-40B4-BE49-F238E27FC236}">
              <a16:creationId xmlns:a16="http://schemas.microsoft.com/office/drawing/2014/main" id="{42B2D7A9-1E0D-15DB-073C-EA18FA1A7C1A}"/>
            </a:ext>
          </a:extLst>
        </xdr:cNvPr>
        <xdr:cNvSpPr/>
      </xdr:nvSpPr>
      <xdr:spPr>
        <a:xfrm>
          <a:off x="0" y="3289300"/>
          <a:ext cx="7429500" cy="431800"/>
        </a:xfrm>
        <a:prstGeom prst="rect">
          <a:avLst/>
        </a:prstGeom>
        <a:solidFill>
          <a:srgbClr val="00B050"/>
        </a:solidFill>
        <a:ln>
          <a:solidFill>
            <a:srgbClr val="FF66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rgbClr val="FFFFFF"/>
              </a:solidFill>
            </a:rPr>
            <a:t>Generar informe 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4B1D-3EEA-42ED-A650-CD0BCCCDD3D7}">
  <sheetPr codeName="Hoja1"/>
  <dimension ref="A1:K24"/>
  <sheetViews>
    <sheetView workbookViewId="0">
      <selection activeCell="A16" sqref="A16"/>
    </sheetView>
  </sheetViews>
  <sheetFormatPr baseColWidth="10" defaultRowHeight="15" x14ac:dyDescent="0.25"/>
  <cols>
    <col min="1" max="1" width="20.7109375" customWidth="1"/>
    <col min="2" max="2" width="11.7109375" customWidth="1"/>
    <col min="3" max="7" width="12.7109375" customWidth="1"/>
    <col min="8" max="9" width="14.7109375" customWidth="1"/>
    <col min="10" max="10" width="32.85546875" bestFit="1" customWidth="1"/>
    <col min="11" max="11" width="24.7109375" customWidth="1"/>
  </cols>
  <sheetData>
    <row r="1" spans="1:11" ht="21.95" customHeight="1" x14ac:dyDescent="0.25">
      <c r="A1" s="1"/>
      <c r="B1" s="20" t="s">
        <v>25</v>
      </c>
      <c r="C1" s="22"/>
      <c r="D1" s="22"/>
      <c r="E1" s="20" t="s">
        <v>26</v>
      </c>
      <c r="F1" s="22"/>
      <c r="G1" s="20" t="s">
        <v>27</v>
      </c>
      <c r="H1" s="22"/>
      <c r="I1" s="20" t="s">
        <v>47</v>
      </c>
      <c r="J1" s="20"/>
      <c r="K1" s="20"/>
    </row>
    <row r="2" spans="1:11" ht="30" customHeight="1" x14ac:dyDescent="0.25">
      <c r="A2" s="11" t="s">
        <v>28</v>
      </c>
      <c r="B2" s="11" t="s">
        <v>29</v>
      </c>
      <c r="C2" s="11" t="s">
        <v>1</v>
      </c>
      <c r="D2" s="11" t="s">
        <v>30</v>
      </c>
      <c r="E2" s="11" t="s">
        <v>1</v>
      </c>
      <c r="F2" s="11" t="s">
        <v>30</v>
      </c>
      <c r="G2" s="11" t="s">
        <v>31</v>
      </c>
      <c r="H2" s="11" t="s">
        <v>30</v>
      </c>
      <c r="I2" s="11" t="s">
        <v>67</v>
      </c>
      <c r="J2" s="3" t="s">
        <v>48</v>
      </c>
      <c r="K2" s="3" t="s">
        <v>49</v>
      </c>
    </row>
    <row r="3" spans="1:11" ht="21.95" customHeight="1" x14ac:dyDescent="0.25">
      <c r="A3" s="12" t="s">
        <v>33</v>
      </c>
      <c r="B3" s="8">
        <v>106</v>
      </c>
      <c r="C3" s="9">
        <v>0.24</v>
      </c>
      <c r="D3" s="10">
        <v>16.170000000000002</v>
      </c>
      <c r="E3" s="9">
        <v>0.31</v>
      </c>
      <c r="F3" s="10">
        <v>59.18</v>
      </c>
      <c r="G3" s="9">
        <v>0.43</v>
      </c>
      <c r="H3" s="10">
        <v>29605</v>
      </c>
      <c r="I3" s="10"/>
      <c r="J3" s="8" t="s">
        <v>46</v>
      </c>
      <c r="K3" s="8" t="s">
        <v>51</v>
      </c>
    </row>
    <row r="4" spans="1:11" ht="21.95" customHeight="1" x14ac:dyDescent="0.25">
      <c r="A4" s="12" t="s">
        <v>32</v>
      </c>
      <c r="B4" s="8">
        <v>213</v>
      </c>
      <c r="C4" s="9">
        <v>0.36</v>
      </c>
      <c r="D4" s="10">
        <v>23.95</v>
      </c>
      <c r="E4" s="9">
        <v>0.47</v>
      </c>
      <c r="F4" s="10">
        <v>61.15</v>
      </c>
      <c r="G4" s="9">
        <v>0.74</v>
      </c>
      <c r="H4" s="10">
        <v>26880</v>
      </c>
      <c r="I4" s="10"/>
      <c r="J4" s="8" t="s">
        <v>45</v>
      </c>
      <c r="K4" s="8" t="s">
        <v>51</v>
      </c>
    </row>
    <row r="5" spans="1:11" ht="21.95" customHeight="1" x14ac:dyDescent="0.25">
      <c r="A5" s="12" t="s">
        <v>34</v>
      </c>
      <c r="B5" s="8"/>
      <c r="C5" s="9"/>
      <c r="D5" s="10"/>
      <c r="E5" s="9"/>
      <c r="F5" s="10">
        <v>6.79</v>
      </c>
      <c r="G5" s="9"/>
      <c r="H5" s="10">
        <v>1880.76</v>
      </c>
      <c r="I5" s="10"/>
      <c r="J5" s="8" t="s">
        <v>45</v>
      </c>
      <c r="K5" s="8" t="s">
        <v>51</v>
      </c>
    </row>
    <row r="6" spans="1:11" ht="21.95" customHeight="1" x14ac:dyDescent="0.25">
      <c r="A6" s="12" t="s">
        <v>35</v>
      </c>
      <c r="B6" s="8"/>
      <c r="C6" s="9"/>
      <c r="D6" s="10"/>
      <c r="E6" s="9"/>
      <c r="F6" s="10">
        <v>13.68</v>
      </c>
      <c r="G6" s="9"/>
      <c r="H6" s="10">
        <v>2317.87</v>
      </c>
      <c r="I6" s="10"/>
      <c r="J6" s="8"/>
      <c r="K6" s="8" t="s">
        <v>51</v>
      </c>
    </row>
    <row r="7" spans="1:11" ht="21.95" customHeight="1" x14ac:dyDescent="0.25">
      <c r="A7" s="12" t="s">
        <v>36</v>
      </c>
      <c r="B7" s="8"/>
      <c r="C7" s="9"/>
      <c r="D7" s="10"/>
      <c r="E7" s="9"/>
      <c r="F7" s="10">
        <v>6.62</v>
      </c>
      <c r="G7" s="9"/>
      <c r="H7" s="10">
        <v>1804.66</v>
      </c>
      <c r="I7" s="10"/>
      <c r="J7" s="8"/>
      <c r="K7" s="8" t="s">
        <v>51</v>
      </c>
    </row>
    <row r="8" spans="1:11" ht="21.95" customHeight="1" x14ac:dyDescent="0.25">
      <c r="A8" s="12" t="s">
        <v>37</v>
      </c>
      <c r="B8" s="8"/>
      <c r="C8" s="9"/>
      <c r="D8" s="10"/>
      <c r="E8" s="9"/>
      <c r="F8" s="10">
        <v>6.62</v>
      </c>
      <c r="G8" s="9"/>
      <c r="H8" s="10">
        <v>1804.66</v>
      </c>
      <c r="I8" s="10"/>
      <c r="J8" s="8" t="s">
        <v>45</v>
      </c>
      <c r="K8" s="8" t="s">
        <v>51</v>
      </c>
    </row>
    <row r="9" spans="1:11" ht="21.95" customHeight="1" x14ac:dyDescent="0.25">
      <c r="A9" s="12" t="s">
        <v>38</v>
      </c>
      <c r="B9" s="8" t="s">
        <v>66</v>
      </c>
      <c r="C9" s="9"/>
      <c r="D9" s="10"/>
      <c r="E9" s="9"/>
      <c r="F9" s="10"/>
      <c r="G9" s="9"/>
      <c r="H9" s="10"/>
      <c r="I9" s="10">
        <v>13.73</v>
      </c>
      <c r="J9" s="8"/>
      <c r="K9" s="8" t="s">
        <v>51</v>
      </c>
    </row>
    <row r="10" spans="1:11" ht="21.95" customHeight="1" x14ac:dyDescent="0.25">
      <c r="A10" s="12" t="s">
        <v>39</v>
      </c>
      <c r="B10" s="8" t="s">
        <v>66</v>
      </c>
      <c r="C10" s="9"/>
      <c r="D10" s="10"/>
      <c r="E10" s="9"/>
      <c r="F10" s="10"/>
      <c r="G10" s="9"/>
      <c r="H10" s="10"/>
      <c r="I10" s="10">
        <v>9.11</v>
      </c>
      <c r="J10" s="8" t="s">
        <v>53</v>
      </c>
      <c r="K10" s="8" t="s">
        <v>51</v>
      </c>
    </row>
    <row r="11" spans="1:11" ht="21.95" customHeight="1" x14ac:dyDescent="0.25">
      <c r="A11" s="12" t="s">
        <v>40</v>
      </c>
      <c r="B11" s="8" t="s">
        <v>66</v>
      </c>
      <c r="C11" s="9"/>
      <c r="D11" s="10"/>
      <c r="E11" s="9"/>
      <c r="F11" s="10"/>
      <c r="G11" s="9"/>
      <c r="H11" s="10"/>
      <c r="I11" s="10">
        <v>13.81</v>
      </c>
      <c r="J11" s="8"/>
      <c r="K11" s="8" t="s">
        <v>51</v>
      </c>
    </row>
    <row r="12" spans="1:11" ht="21.95" customHeight="1" x14ac:dyDescent="0.25">
      <c r="A12" s="12" t="s">
        <v>41</v>
      </c>
      <c r="B12" s="8" t="s">
        <v>66</v>
      </c>
      <c r="C12" s="9"/>
      <c r="D12" s="10">
        <v>12.42</v>
      </c>
      <c r="E12" s="9"/>
      <c r="F12" s="10">
        <v>29.31</v>
      </c>
      <c r="G12" s="9"/>
      <c r="H12" s="10">
        <v>13801.58</v>
      </c>
      <c r="I12" s="10"/>
      <c r="J12" s="8"/>
      <c r="K12" s="8" t="s">
        <v>51</v>
      </c>
    </row>
    <row r="13" spans="1:11" ht="21.95" customHeight="1" x14ac:dyDescent="0.25">
      <c r="A13" s="12" t="s">
        <v>42</v>
      </c>
      <c r="B13" s="8" t="s">
        <v>66</v>
      </c>
      <c r="C13" s="9"/>
      <c r="D13" s="10"/>
      <c r="E13" s="9"/>
      <c r="F13" s="10"/>
      <c r="G13" s="9"/>
      <c r="H13" s="10"/>
      <c r="I13" s="10">
        <v>6.9</v>
      </c>
      <c r="J13" s="8" t="s">
        <v>50</v>
      </c>
      <c r="K13" s="8" t="s">
        <v>51</v>
      </c>
    </row>
    <row r="14" spans="1:11" ht="21.95" customHeight="1" x14ac:dyDescent="0.25">
      <c r="A14" s="12" t="s">
        <v>43</v>
      </c>
      <c r="B14" s="8"/>
      <c r="C14" s="9"/>
      <c r="D14" s="10"/>
      <c r="E14" s="9"/>
      <c r="F14" s="10">
        <v>49.88</v>
      </c>
      <c r="G14" s="9"/>
      <c r="H14" s="10">
        <v>25639.95</v>
      </c>
      <c r="I14" s="10"/>
      <c r="J14" s="8" t="s">
        <v>54</v>
      </c>
      <c r="K14" s="8" t="s">
        <v>51</v>
      </c>
    </row>
    <row r="15" spans="1:11" ht="21.95" customHeight="1" x14ac:dyDescent="0.25">
      <c r="A15" s="12" t="s">
        <v>44</v>
      </c>
      <c r="B15" s="8"/>
      <c r="C15" s="9"/>
      <c r="D15" s="10"/>
      <c r="E15" s="9"/>
      <c r="F15" s="10">
        <v>48.78</v>
      </c>
      <c r="G15" s="9"/>
      <c r="H15" s="10">
        <v>25529.79</v>
      </c>
      <c r="I15" s="10"/>
      <c r="J15" s="8"/>
      <c r="K15" s="8" t="s">
        <v>51</v>
      </c>
    </row>
    <row r="16" spans="1:11" ht="21.95" customHeight="1" x14ac:dyDescent="0.25">
      <c r="A16" s="12" t="s">
        <v>82</v>
      </c>
      <c r="B16" s="8"/>
      <c r="C16" s="9"/>
      <c r="D16" s="10"/>
      <c r="E16" s="9"/>
      <c r="F16" s="10"/>
      <c r="G16" s="9"/>
      <c r="H16" s="10"/>
      <c r="I16" s="10"/>
      <c r="J16" s="8" t="s">
        <v>57</v>
      </c>
      <c r="K16" s="8" t="s">
        <v>52</v>
      </c>
    </row>
    <row r="17" spans="1:11" ht="21.95" customHeight="1" x14ac:dyDescent="0.25">
      <c r="A17" s="12" t="s">
        <v>65</v>
      </c>
      <c r="B17" s="8"/>
      <c r="C17" s="9"/>
      <c r="D17" s="10"/>
      <c r="E17" s="9"/>
      <c r="F17" s="10"/>
      <c r="G17" s="9"/>
      <c r="H17" s="10"/>
      <c r="I17" s="10"/>
      <c r="J17" s="8" t="s">
        <v>50</v>
      </c>
      <c r="K17" s="8" t="s">
        <v>51</v>
      </c>
    </row>
    <row r="18" spans="1:11" x14ac:dyDescent="0.25">
      <c r="A18" s="12" t="s">
        <v>56</v>
      </c>
      <c r="B18" s="8"/>
      <c r="C18" s="9"/>
      <c r="D18" s="10"/>
      <c r="E18" s="9"/>
      <c r="F18" s="10"/>
      <c r="G18" s="9"/>
      <c r="H18" s="10"/>
      <c r="I18" s="10"/>
      <c r="J18" s="8" t="s">
        <v>57</v>
      </c>
      <c r="K18" s="8" t="s">
        <v>52</v>
      </c>
    </row>
    <row r="19" spans="1:11" x14ac:dyDescent="0.25">
      <c r="A19" s="12" t="s">
        <v>58</v>
      </c>
      <c r="B19" s="8"/>
      <c r="C19" s="9"/>
      <c r="D19" s="10"/>
      <c r="E19" s="9"/>
      <c r="F19" s="10"/>
      <c r="G19" s="9"/>
      <c r="H19" s="10"/>
      <c r="I19" s="10"/>
      <c r="J19" s="8" t="s">
        <v>57</v>
      </c>
      <c r="K19" s="8" t="s">
        <v>52</v>
      </c>
    </row>
    <row r="20" spans="1:11" x14ac:dyDescent="0.25">
      <c r="A20" s="12" t="s">
        <v>59</v>
      </c>
      <c r="B20" s="8"/>
      <c r="C20" s="9"/>
      <c r="D20" s="10"/>
      <c r="E20" s="9"/>
      <c r="F20" s="10"/>
      <c r="G20" s="9"/>
      <c r="H20" s="10"/>
      <c r="I20" s="10"/>
      <c r="J20" s="8" t="s">
        <v>57</v>
      </c>
      <c r="K20" s="8" t="s">
        <v>52</v>
      </c>
    </row>
    <row r="21" spans="1:11" x14ac:dyDescent="0.25">
      <c r="A21" s="12" t="s">
        <v>60</v>
      </c>
      <c r="B21" s="8"/>
      <c r="C21" s="9"/>
      <c r="D21" s="10"/>
      <c r="E21" s="9"/>
      <c r="F21" s="10"/>
      <c r="G21" s="9"/>
      <c r="H21" s="10"/>
      <c r="I21" s="10"/>
      <c r="J21" s="8" t="s">
        <v>61</v>
      </c>
      <c r="K21" s="8" t="s">
        <v>51</v>
      </c>
    </row>
    <row r="22" spans="1:11" x14ac:dyDescent="0.25">
      <c r="A22" s="12" t="s">
        <v>62</v>
      </c>
      <c r="B22" s="8"/>
      <c r="C22" s="9"/>
      <c r="D22" s="10"/>
      <c r="E22" s="9"/>
      <c r="F22" s="10"/>
      <c r="G22" s="9"/>
      <c r="H22" s="10"/>
      <c r="I22" s="10"/>
      <c r="J22" s="8" t="s">
        <v>57</v>
      </c>
      <c r="K22" s="8" t="s">
        <v>52</v>
      </c>
    </row>
    <row r="23" spans="1:11" x14ac:dyDescent="0.25">
      <c r="A23" s="12" t="s">
        <v>63</v>
      </c>
      <c r="B23" s="8"/>
      <c r="C23" s="9"/>
      <c r="D23" s="10"/>
      <c r="E23" s="9"/>
      <c r="F23" s="10"/>
      <c r="G23" s="9"/>
      <c r="H23" s="10"/>
      <c r="I23" s="10"/>
      <c r="J23" s="8" t="s">
        <v>50</v>
      </c>
      <c r="K23" s="8" t="s">
        <v>51</v>
      </c>
    </row>
    <row r="24" spans="1:11" x14ac:dyDescent="0.25">
      <c r="A24" s="12" t="s">
        <v>64</v>
      </c>
      <c r="B24" s="8"/>
      <c r="C24" s="9"/>
      <c r="D24" s="10"/>
      <c r="E24" s="9"/>
      <c r="F24" s="10"/>
      <c r="G24" s="9"/>
      <c r="H24" s="10"/>
      <c r="I24" s="10"/>
      <c r="J24" s="8" t="s">
        <v>55</v>
      </c>
      <c r="K24" s="8" t="s">
        <v>51</v>
      </c>
    </row>
  </sheetData>
  <mergeCells count="4">
    <mergeCell ref="B1:D1"/>
    <mergeCell ref="E1:F1"/>
    <mergeCell ref="G1:H1"/>
    <mergeCell ref="I1:K1"/>
  </mergeCells>
  <phoneticPr fontId="3" type="noConversion"/>
  <dataValidations count="1">
    <dataValidation type="list" allowBlank="1" showInputMessage="1" showErrorMessage="1" sqref="K3:K24" xr:uid="{489E6E92-A8CB-4905-BF7B-AC2812378269}">
      <formula1>"Si,No"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56EF2-596E-4403-A23B-70BFE9E564FA}">
  <sheetPr codeName="Hoja2"/>
  <dimension ref="A4:O204"/>
  <sheetViews>
    <sheetView workbookViewId="0">
      <selection activeCell="B6" sqref="B6"/>
    </sheetView>
  </sheetViews>
  <sheetFormatPr baseColWidth="10" defaultRowHeight="15" x14ac:dyDescent="0.25"/>
  <cols>
    <col min="1" max="1" width="11.42578125" bestFit="1" customWidth="1"/>
    <col min="2" max="2" width="18.7109375" customWidth="1"/>
    <col min="3" max="3" width="13.7109375" customWidth="1"/>
    <col min="4" max="4" width="18.7109375" customWidth="1"/>
    <col min="5" max="5" width="11.28515625" bestFit="1" customWidth="1"/>
    <col min="6" max="6" width="14.140625" bestFit="1" customWidth="1"/>
    <col min="7" max="7" width="15.42578125" bestFit="1" customWidth="1"/>
    <col min="8" max="8" width="14.7109375" customWidth="1"/>
    <col min="9" max="9" width="13.7109375" customWidth="1"/>
    <col min="10" max="10" width="33.85546875" bestFit="1" customWidth="1"/>
    <col min="11" max="11" width="23.5703125" bestFit="1" customWidth="1"/>
    <col min="12" max="12" width="3.7109375" customWidth="1"/>
    <col min="13" max="15" width="13.7109375" customWidth="1"/>
  </cols>
  <sheetData>
    <row r="4" spans="1:15" x14ac:dyDescent="0.25">
      <c r="A4" s="14" t="s">
        <v>68</v>
      </c>
      <c r="B4" s="14" t="s">
        <v>69</v>
      </c>
      <c r="C4" s="14" t="s">
        <v>1</v>
      </c>
      <c r="D4" s="14" t="s">
        <v>2</v>
      </c>
      <c r="E4" s="14" t="s">
        <v>70</v>
      </c>
      <c r="F4" s="14" t="s">
        <v>0</v>
      </c>
      <c r="G4" s="14" t="s">
        <v>71</v>
      </c>
      <c r="H4" s="14" t="s">
        <v>72</v>
      </c>
      <c r="I4" s="14" t="s">
        <v>3</v>
      </c>
      <c r="J4" s="14" t="s">
        <v>73</v>
      </c>
      <c r="K4" s="14" t="s">
        <v>4</v>
      </c>
      <c r="L4" s="15"/>
      <c r="M4" s="14" t="s">
        <v>5</v>
      </c>
      <c r="N4" s="14" t="s">
        <v>6</v>
      </c>
      <c r="O4" s="14" t="s">
        <v>7</v>
      </c>
    </row>
    <row r="5" spans="1:15" x14ac:dyDescent="0.25">
      <c r="A5" s="15" t="s">
        <v>68</v>
      </c>
      <c r="B5" s="15" t="s">
        <v>32</v>
      </c>
      <c r="C5" s="16">
        <v>0.75</v>
      </c>
      <c r="D5" s="15" t="str">
        <f t="shared" ref="D5:D36" si="0">IF($B5="","",$B5)</f>
        <v>Cocaína</v>
      </c>
      <c r="E5" s="17">
        <v>0.25</v>
      </c>
      <c r="F5" s="18">
        <f>IF($B5="","",IF(OR(UPPER(IFERROR(VLOOKUP($B5,'Base de datos'!$A$3:$K$24,11,FALSE),""))="NO",ISNUMBER(SEARCH("no sometida",IFERROR(VLOOKUP($B5,'Base de datos'!$A$3:$K$24,10,FALSE),""))),ISNUMBER(SEARCH("no fiscal",IFERROR(VLOOKUP($B5,'Base de datos'!$A$3:$K$24,10,FALSE),"")))),"",IF(OR(OR(ISNUMBER(SEARCH("Hach",$B5)),ISNUMBER(SEARCH("Ketamina",$B5))),AND(IFERROR(VLOOKUP($B5,'Base de datos'!$A$3:$K$24,9,FALSE),"")&lt;&gt;"",IFERROR(VLOOKUP($B5,'Base de datos'!$A$3:$K$24,9,FALSE),"")&lt;&gt;0)),"",IFERROR($M5*VLOOKUP($B5,'Base de datos'!$A$3:$K$24,8,FALSE)/1000,""))))</f>
        <v>6.8108108108108114</v>
      </c>
      <c r="G5" s="18">
        <f>IF($B5="","",IF(OR(UPPER(IFERROR(VLOOKUP($B5,'Base de datos'!$A$3:$K$24,11,FALSE),""))="NO",ISNUMBER(SEARCH("no sometida",IFERROR(VLOOKUP($B5,'Base de datos'!$A$3:$K$24,10,FALSE),""))),ISNUMBER(SEARCH("no fiscal",IFERROR(VLOOKUP($B5,'Base de datos'!$A$3:$K$24,10,FALSE),"")))),"",IFERROR(IF(OR(ISNUMBER(SEARCH("Hach",$B5)),ISNUMBER(SEARCH("Ketamina",$B5))),IF(VLOOKUP($B5,'Base de datos'!$A$3:$K$24,6,FALSE)="","",$E5*VLOOKUP($B5,'Base de datos'!$A$3:$K$24,6,FALSE)),IF(AND(IFERROR(VLOOKUP($B5,'Base de datos'!$A$3:$K$24,9,FALSE),"")&lt;&gt;"",IFERROR(VLOOKUP($B5,'Base de datos'!$A$3:$K$24,9,FALSE),"")&lt;&gt;0),"",IF(VLOOKUP($B5,'Base de datos'!$A$3:$K$24,6,FALSE)="","",$N5*VLOOKUP($B5,'Base de datos'!$A$3:$K$24,6,FALSE)))),"")))</f>
        <v>24.394946808510642</v>
      </c>
      <c r="H5" s="18">
        <f>IF($B5="","",IF(OR(UPPER(IFERROR(VLOOKUP($B5,'Base de datos'!$A$3:$K$24,11,FALSE),""))="NO",ISNUMBER(SEARCH("no sometida",IFERROR(VLOOKUP($B5,'Base de datos'!$A$3:$K$24,10,FALSE),""))),ISNUMBER(SEARCH("no fiscal",IFERROR(VLOOKUP($B5,'Base de datos'!$A$3:$K$24,10,FALSE),"")))),"",IF(OR(ISNUMBER(SEARCH("Hach",$B5)),ISNUMBER(SEARCH("Ketamina",$B5))),"",IF(AND(IFERROR(VLOOKUP($B5,'Base de datos'!$A$3:$K$24,9,FALSE),"")&lt;&gt;"",IFERROR(VLOOKUP($B5,'Base de datos'!$A$3:$K$24,9,FALSE),"")&lt;&gt;0),$E5*IFERROR(VLOOKUP($B5,'Base de datos'!$A$3:$K$24,9,FALSE),""),IFERROR($O5*VLOOKUP($B5,'Base de datos'!$A$3:$K$24,4,FALSE),"")))))</f>
        <v>58.563184663536781</v>
      </c>
      <c r="I5" s="16">
        <f>IFERROR(VLOOKUP($B5,'Base de datos'!$A$3:$K$24,7,FALSE),"")</f>
        <v>0.74</v>
      </c>
      <c r="J5" s="19" t="str">
        <f>IFERROR(VLOOKUP($B5,'Base de datos'!$A$3:$K$24,10,FALSE),"")</f>
        <v>Lista I CU 1961</v>
      </c>
      <c r="K5" s="17"/>
      <c r="L5" s="15"/>
      <c r="M5" s="17">
        <f>IF(OR(OR(UPPER(IFERROR(VLOOKUP($B5,'Base de datos'!$A$3:$K$24,11,FALSE),""))="NO",ISNUMBER(SEARCH("no sometida",IFERROR(VLOOKUP($B5,'Base de datos'!$A$3:$K$24,10,FALSE),""))),ISNUMBER(SEARCH("no fiscal",IFERROR(VLOOKUP($B5,'Base de datos'!$A$3:$K$24,10,FALSE),"")))),OR(ISNUMBER(SEARCH("Hach",$B5)),ISNUMBER(SEARCH("Ketamina",$B5))),AND(IFERROR(VLOOKUP($B5,'Base de datos'!$A$3:$K$24,9,FALSE),"")&lt;&gt;"",IFERROR(VLOOKUP($B5,'Base de datos'!$A$3:$K$24,9,FALSE),"")&lt;&gt;0)),"",IFERROR($E5*$C5/$I5,""))</f>
        <v>0.2533783783783784</v>
      </c>
      <c r="N5" s="17">
        <f>IF(OR(OR(UPPER(IFERROR(VLOOKUP($B5,'Base de datos'!$A$3:$K$24,11,FALSE),""))="NO",ISNUMBER(SEARCH("no sometida",IFERROR(VLOOKUP($B5,'Base de datos'!$A$3:$K$24,10,FALSE),""))),ISNUMBER(SEARCH("no fiscal",IFERROR(VLOOKUP($B5,'Base de datos'!$A$3:$K$24,10,FALSE),"")))),OR(ISNUMBER(SEARCH("Hach",$B5)),ISNUMBER(SEARCH("Ketamina",$B5))),AND(IFERROR(VLOOKUP($B5,'Base de datos'!$A$3:$K$24,9,FALSE),"")&lt;&gt;"",IFERROR(VLOOKUP($B5,'Base de datos'!$A$3:$K$24,9,FALSE),"")&lt;&gt;0)),"",IFERROR($E5*$C5/IFERROR(VLOOKUP($B5,'Base de datos'!$A$3:$K$24,5,FALSE),0),""))</f>
        <v>0.39893617021276601</v>
      </c>
      <c r="O5" s="17">
        <f>IF(OR(OR(UPPER(IFERROR(VLOOKUP($B5,'Base de datos'!$A$3:$K$24,11,FALSE),""))="NO",ISNUMBER(SEARCH("no sometida",IFERROR(VLOOKUP($B5,'Base de datos'!$A$3:$K$24,10,FALSE),""))),ISNUMBER(SEARCH("no fiscal",IFERROR(VLOOKUP($B5,'Base de datos'!$A$3:$K$24,10,FALSE),"")))),OR(ISNUMBER(SEARCH("Hach",$B5)),ISNUMBER(SEARCH("Ketamina",$B5))),AND(IFERROR(VLOOKUP($B5,'Base de datos'!$A$3:$K$24,9,FALSE),"")&lt;&gt;"",IFERROR(VLOOKUP($B5,'Base de datos'!$A$3:$K$24,9,FALSE),"")&lt;&gt;0)),"",IFERROR((($E5*$C5/IFERROR(VLOOKUP($B5,'Base de datos'!$A$3:$K$24,3,FALSE),0))*1000)/IFERROR(VLOOKUP($B5,'Base de datos'!$A$3:$K$24,2,FALSE),0),""))</f>
        <v>2.4452269170579033</v>
      </c>
    </row>
    <row r="6" spans="1:15" x14ac:dyDescent="0.25">
      <c r="A6" s="15"/>
      <c r="B6" s="15" t="s">
        <v>82</v>
      </c>
      <c r="C6" s="16">
        <f>IFERROR(VLOOKUP($B6,'Base de datos'!$A$3:$K$24,3,FALSE),"")</f>
        <v>0</v>
      </c>
      <c r="D6" s="15" t="str">
        <f t="shared" si="0"/>
        <v xml:space="preserve">Papel impregnado </v>
      </c>
      <c r="E6" s="17"/>
      <c r="F6" s="18" t="str">
        <f>IF($B6="","",IF(OR(UPPER(IFERROR(VLOOKUP($B6,'Base de datos'!$A$3:$K$24,11,FALSE),""))="NO",ISNUMBER(SEARCH("no sometida",IFERROR(VLOOKUP($B6,'Base de datos'!$A$3:$K$24,10,FALSE),""))),ISNUMBER(SEARCH("no fiscal",IFERROR(VLOOKUP($B6,'Base de datos'!$A$3:$K$24,10,FALSE),"")))),"",IF(OR(OR(ISNUMBER(SEARCH("Hach",$B6)),ISNUMBER(SEARCH("Ketamina",$B6))),AND(IFERROR(VLOOKUP($B6,'Base de datos'!$A$3:$K$24,9,FALSE),"")&lt;&gt;"",IFERROR(VLOOKUP($B6,'Base de datos'!$A$3:$K$24,9,FALSE),"")&lt;&gt;0)),"",IFERROR($M6*VLOOKUP($B6,'Base de datos'!$A$3:$K$24,8,FALSE)/1000,""))))</f>
        <v/>
      </c>
      <c r="G6" s="18" t="str">
        <f>IF($B6="","",IF(OR(UPPER(IFERROR(VLOOKUP($B6,'Base de datos'!$A$3:$K$24,11,FALSE),""))="NO",ISNUMBER(SEARCH("no sometida",IFERROR(VLOOKUP($B6,'Base de datos'!$A$3:$K$24,10,FALSE),""))),ISNUMBER(SEARCH("no fiscal",IFERROR(VLOOKUP($B6,'Base de datos'!$A$3:$K$24,10,FALSE),"")))),"",IFERROR(IF(OR(ISNUMBER(SEARCH("Hach",$B6)),ISNUMBER(SEARCH("Ketamina",$B6))),IF(VLOOKUP($B6,'Base de datos'!$A$3:$K$24,6,FALSE)="","",$E6*VLOOKUP($B6,'Base de datos'!$A$3:$K$24,6,FALSE)),IF(AND(IFERROR(VLOOKUP($B6,'Base de datos'!$A$3:$K$24,9,FALSE),"")&lt;&gt;"",IFERROR(VLOOKUP($B6,'Base de datos'!$A$3:$K$24,9,FALSE),"")&lt;&gt;0),"",IF(VLOOKUP($B6,'Base de datos'!$A$3:$K$24,6,FALSE)="","",$N6*VLOOKUP($B6,'Base de datos'!$A$3:$K$24,6,FALSE)))),"")))</f>
        <v/>
      </c>
      <c r="H6" s="18" t="str">
        <f>IF($B6="","",IF(OR(UPPER(IFERROR(VLOOKUP($B6,'Base de datos'!$A$3:$K$24,11,FALSE),""))="NO",ISNUMBER(SEARCH("no sometida",IFERROR(VLOOKUP($B6,'Base de datos'!$A$3:$K$24,10,FALSE),""))),ISNUMBER(SEARCH("no fiscal",IFERROR(VLOOKUP($B6,'Base de datos'!$A$3:$K$24,10,FALSE),"")))),"",IF(OR(ISNUMBER(SEARCH("Hach",$B6)),ISNUMBER(SEARCH("Ketamina",$B6))),"",IF(AND(IFERROR(VLOOKUP($B6,'Base de datos'!$A$3:$K$24,9,FALSE),"")&lt;&gt;"",IFERROR(VLOOKUP($B6,'Base de datos'!$A$3:$K$24,9,FALSE),"")&lt;&gt;0),$E6*IFERROR(VLOOKUP($B6,'Base de datos'!$A$3:$K$24,9,FALSE),""),IFERROR($O6*VLOOKUP($B6,'Base de datos'!$A$3:$K$24,4,FALSE),"")))))</f>
        <v/>
      </c>
      <c r="I6" s="16">
        <f>IFERROR(VLOOKUP($B6,'Base de datos'!$A$3:$K$24,7,FALSE),"")</f>
        <v>0</v>
      </c>
      <c r="J6" s="19" t="str">
        <f>IFERROR(VLOOKUP($B6,'Base de datos'!$A$3:$K$24,10,FALSE),"")</f>
        <v>Sustancia no sometida a fiscalizacion</v>
      </c>
      <c r="K6" s="17"/>
      <c r="L6" s="15"/>
      <c r="M6" s="17" t="str">
        <f>IF(OR(OR(UPPER(IFERROR(VLOOKUP($B6,'Base de datos'!$A$3:$K$24,11,FALSE),""))="NO",ISNUMBER(SEARCH("no sometida",IFERROR(VLOOKUP($B6,'Base de datos'!$A$3:$K$24,10,FALSE),""))),ISNUMBER(SEARCH("no fiscal",IFERROR(VLOOKUP($B6,'Base de datos'!$A$3:$K$24,10,FALSE),"")))),OR(ISNUMBER(SEARCH("Hach",$B6)),ISNUMBER(SEARCH("Ketamina",$B6))),AND(IFERROR(VLOOKUP($B6,'Base de datos'!$A$3:$K$24,9,FALSE),"")&lt;&gt;"",IFERROR(VLOOKUP($B6,'Base de datos'!$A$3:$K$24,9,FALSE),"")&lt;&gt;0)),"",IFERROR($E6*$C6/$I6,""))</f>
        <v/>
      </c>
      <c r="N6" s="17" t="str">
        <f>IF(OR(OR(UPPER(IFERROR(VLOOKUP($B6,'Base de datos'!$A$3:$K$24,11,FALSE),""))="NO",ISNUMBER(SEARCH("no sometida",IFERROR(VLOOKUP($B6,'Base de datos'!$A$3:$K$24,10,FALSE),""))),ISNUMBER(SEARCH("no fiscal",IFERROR(VLOOKUP($B6,'Base de datos'!$A$3:$K$24,10,FALSE),"")))),OR(ISNUMBER(SEARCH("Hach",$B6)),ISNUMBER(SEARCH("Ketamina",$B6))),AND(IFERROR(VLOOKUP($B6,'Base de datos'!$A$3:$K$24,9,FALSE),"")&lt;&gt;"",IFERROR(VLOOKUP($B6,'Base de datos'!$A$3:$K$24,9,FALSE),"")&lt;&gt;0)),"",IFERROR($E6*$C6/IFERROR(VLOOKUP($B6,'Base de datos'!$A$3:$K$24,5,FALSE),0),""))</f>
        <v/>
      </c>
      <c r="O6" s="17" t="str">
        <f>IF(OR(OR(UPPER(IFERROR(VLOOKUP($B6,'Base de datos'!$A$3:$K$24,11,FALSE),""))="NO",ISNUMBER(SEARCH("no sometida",IFERROR(VLOOKUP($B6,'Base de datos'!$A$3:$K$24,10,FALSE),""))),ISNUMBER(SEARCH("no fiscal",IFERROR(VLOOKUP($B6,'Base de datos'!$A$3:$K$24,10,FALSE),"")))),OR(ISNUMBER(SEARCH("Hach",$B6)),ISNUMBER(SEARCH("Ketamina",$B6))),AND(IFERROR(VLOOKUP($B6,'Base de datos'!$A$3:$K$24,9,FALSE),"")&lt;&gt;"",IFERROR(VLOOKUP($B6,'Base de datos'!$A$3:$K$24,9,FALSE),"")&lt;&gt;0)),"",IFERROR((($E6*$C6/IFERROR(VLOOKUP($B6,'Base de datos'!$A$3:$K$24,3,FALSE),0))*1000)/IFERROR(VLOOKUP($B6,'Base de datos'!$A$3:$K$24,2,FALSE),0),""))</f>
        <v/>
      </c>
    </row>
    <row r="7" spans="1:15" x14ac:dyDescent="0.25">
      <c r="A7" s="15"/>
      <c r="B7" s="15"/>
      <c r="C7" s="16" t="str">
        <f>IFERROR(VLOOKUP($B7,'Base de datos'!$A$3:$K$24,3,FALSE),"")</f>
        <v/>
      </c>
      <c r="D7" s="15" t="str">
        <f t="shared" si="0"/>
        <v/>
      </c>
      <c r="E7" s="17"/>
      <c r="F7" s="18" t="str">
        <f>IF($B7="","",IF(OR(UPPER(IFERROR(VLOOKUP($B7,'Base de datos'!$A$3:$K$24,11,FALSE),""))="NO",ISNUMBER(SEARCH("no sometida",IFERROR(VLOOKUP($B7,'Base de datos'!$A$3:$K$24,10,FALSE),""))),ISNUMBER(SEARCH("no fiscal",IFERROR(VLOOKUP($B7,'Base de datos'!$A$3:$K$24,10,FALSE),"")))),"",IF(OR(OR(ISNUMBER(SEARCH("Hach",$B7)),ISNUMBER(SEARCH("Ketamina",$B7))),AND(IFERROR(VLOOKUP($B7,'Base de datos'!$A$3:$K$24,9,FALSE),"")&lt;&gt;"",IFERROR(VLOOKUP($B7,'Base de datos'!$A$3:$K$24,9,FALSE),"")&lt;&gt;0)),"",IFERROR($M7*VLOOKUP($B7,'Base de datos'!$A$3:$K$24,8,FALSE)/1000,""))))</f>
        <v/>
      </c>
      <c r="G7" s="18" t="str">
        <f>IF($B7="","",IF(OR(UPPER(IFERROR(VLOOKUP($B7,'Base de datos'!$A$3:$K$24,11,FALSE),""))="NO",ISNUMBER(SEARCH("no sometida",IFERROR(VLOOKUP($B7,'Base de datos'!$A$3:$K$24,10,FALSE),""))),ISNUMBER(SEARCH("no fiscal",IFERROR(VLOOKUP($B7,'Base de datos'!$A$3:$K$24,10,FALSE),"")))),"",IFERROR(IF(OR(ISNUMBER(SEARCH("Hach",$B7)),ISNUMBER(SEARCH("Ketamina",$B7))),IF(VLOOKUP($B7,'Base de datos'!$A$3:$K$24,6,FALSE)="","",$E7*VLOOKUP($B7,'Base de datos'!$A$3:$K$24,6,FALSE)),IF(AND(IFERROR(VLOOKUP($B7,'Base de datos'!$A$3:$K$24,9,FALSE),"")&lt;&gt;"",IFERROR(VLOOKUP($B7,'Base de datos'!$A$3:$K$24,9,FALSE),"")&lt;&gt;0),"",IF(VLOOKUP($B7,'Base de datos'!$A$3:$K$24,6,FALSE)="","",$N7*VLOOKUP($B7,'Base de datos'!$A$3:$K$24,6,FALSE)))),"")))</f>
        <v/>
      </c>
      <c r="H7" s="18" t="str">
        <f>IF($B7="","",IF(OR(UPPER(IFERROR(VLOOKUP($B7,'Base de datos'!$A$3:$K$24,11,FALSE),""))="NO",ISNUMBER(SEARCH("no sometida",IFERROR(VLOOKUP($B7,'Base de datos'!$A$3:$K$24,10,FALSE),""))),ISNUMBER(SEARCH("no fiscal",IFERROR(VLOOKUP($B7,'Base de datos'!$A$3:$K$24,10,FALSE),"")))),"",IF(OR(ISNUMBER(SEARCH("Hach",$B7)),ISNUMBER(SEARCH("Ketamina",$B7))),"",IF(AND(IFERROR(VLOOKUP($B7,'Base de datos'!$A$3:$K$24,9,FALSE),"")&lt;&gt;"",IFERROR(VLOOKUP($B7,'Base de datos'!$A$3:$K$24,9,FALSE),"")&lt;&gt;0),$E7*IFERROR(VLOOKUP($B7,'Base de datos'!$A$3:$K$24,9,FALSE),""),IFERROR($O7*VLOOKUP($B7,'Base de datos'!$A$3:$K$24,4,FALSE),"")))))</f>
        <v/>
      </c>
      <c r="I7" s="16" t="str">
        <f>IFERROR(VLOOKUP($B7,'Base de datos'!$A$3:$K$24,7,FALSE),"")</f>
        <v/>
      </c>
      <c r="J7" s="19" t="str">
        <f>IFERROR(VLOOKUP($B7,'Base de datos'!$A$3:$K$24,10,FALSE),"")</f>
        <v/>
      </c>
      <c r="K7" s="17"/>
      <c r="L7" s="15"/>
      <c r="M7" s="17" t="str">
        <f>IF(OR(OR(UPPER(IFERROR(VLOOKUP($B7,'Base de datos'!$A$3:$K$24,11,FALSE),""))="NO",ISNUMBER(SEARCH("no sometida",IFERROR(VLOOKUP($B7,'Base de datos'!$A$3:$K$24,10,FALSE),""))),ISNUMBER(SEARCH("no fiscal",IFERROR(VLOOKUP($B7,'Base de datos'!$A$3:$K$24,10,FALSE),"")))),OR(ISNUMBER(SEARCH("Hach",$B7)),ISNUMBER(SEARCH("Ketamina",$B7))),AND(IFERROR(VLOOKUP($B7,'Base de datos'!$A$3:$K$24,9,FALSE),"")&lt;&gt;"",IFERROR(VLOOKUP($B7,'Base de datos'!$A$3:$K$24,9,FALSE),"")&lt;&gt;0)),"",IFERROR($E7*$C7/$I7,""))</f>
        <v/>
      </c>
      <c r="N7" s="17" t="str">
        <f>IF(OR(OR(UPPER(IFERROR(VLOOKUP($B7,'Base de datos'!$A$3:$K$24,11,FALSE),""))="NO",ISNUMBER(SEARCH("no sometida",IFERROR(VLOOKUP($B7,'Base de datos'!$A$3:$K$24,10,FALSE),""))),ISNUMBER(SEARCH("no fiscal",IFERROR(VLOOKUP($B7,'Base de datos'!$A$3:$K$24,10,FALSE),"")))),OR(ISNUMBER(SEARCH("Hach",$B7)),ISNUMBER(SEARCH("Ketamina",$B7))),AND(IFERROR(VLOOKUP($B7,'Base de datos'!$A$3:$K$24,9,FALSE),"")&lt;&gt;"",IFERROR(VLOOKUP($B7,'Base de datos'!$A$3:$K$24,9,FALSE),"")&lt;&gt;0)),"",IFERROR($E7*$C7/IFERROR(VLOOKUP($B7,'Base de datos'!$A$3:$K$24,5,FALSE),0),""))</f>
        <v/>
      </c>
      <c r="O7" s="17" t="str">
        <f>IF(OR(OR(UPPER(IFERROR(VLOOKUP($B7,'Base de datos'!$A$3:$K$24,11,FALSE),""))="NO",ISNUMBER(SEARCH("no sometida",IFERROR(VLOOKUP($B7,'Base de datos'!$A$3:$K$24,10,FALSE),""))),ISNUMBER(SEARCH("no fiscal",IFERROR(VLOOKUP($B7,'Base de datos'!$A$3:$K$24,10,FALSE),"")))),OR(ISNUMBER(SEARCH("Hach",$B7)),ISNUMBER(SEARCH("Ketamina",$B7))),AND(IFERROR(VLOOKUP($B7,'Base de datos'!$A$3:$K$24,9,FALSE),"")&lt;&gt;"",IFERROR(VLOOKUP($B7,'Base de datos'!$A$3:$K$24,9,FALSE),"")&lt;&gt;0)),"",IFERROR((($E7*$C7/IFERROR(VLOOKUP($B7,'Base de datos'!$A$3:$K$24,3,FALSE),0))*1000)/IFERROR(VLOOKUP($B7,'Base de datos'!$A$3:$K$24,2,FALSE),0),""))</f>
        <v/>
      </c>
    </row>
    <row r="8" spans="1:15" x14ac:dyDescent="0.25">
      <c r="A8" s="15"/>
      <c r="B8" s="15"/>
      <c r="C8" s="16" t="str">
        <f>IFERROR(VLOOKUP($B8,'Base de datos'!$A$3:$K$24,3,FALSE),"")</f>
        <v/>
      </c>
      <c r="D8" s="15" t="str">
        <f t="shared" si="0"/>
        <v/>
      </c>
      <c r="E8" s="17"/>
      <c r="F8" s="18" t="str">
        <f>IF($B8="","",IF(OR(UPPER(IFERROR(VLOOKUP($B8,'Base de datos'!$A$3:$K$24,11,FALSE),""))="NO",ISNUMBER(SEARCH("no sometida",IFERROR(VLOOKUP($B8,'Base de datos'!$A$3:$K$24,10,FALSE),""))),ISNUMBER(SEARCH("no fiscal",IFERROR(VLOOKUP($B8,'Base de datos'!$A$3:$K$24,10,FALSE),"")))),"",IF(OR(OR(ISNUMBER(SEARCH("Hach",$B8)),ISNUMBER(SEARCH("Ketamina",$B8))),AND(IFERROR(VLOOKUP($B8,'Base de datos'!$A$3:$K$24,9,FALSE),"")&lt;&gt;"",IFERROR(VLOOKUP($B8,'Base de datos'!$A$3:$K$24,9,FALSE),"")&lt;&gt;0)),"",IFERROR($M8*VLOOKUP($B8,'Base de datos'!$A$3:$K$24,8,FALSE)/1000,""))))</f>
        <v/>
      </c>
      <c r="G8" s="18" t="str">
        <f>IF($B8="","",IF(OR(UPPER(IFERROR(VLOOKUP($B8,'Base de datos'!$A$3:$K$24,11,FALSE),""))="NO",ISNUMBER(SEARCH("no sometida",IFERROR(VLOOKUP($B8,'Base de datos'!$A$3:$K$24,10,FALSE),""))),ISNUMBER(SEARCH("no fiscal",IFERROR(VLOOKUP($B8,'Base de datos'!$A$3:$K$24,10,FALSE),"")))),"",IFERROR(IF(OR(ISNUMBER(SEARCH("Hach",$B8)),ISNUMBER(SEARCH("Ketamina",$B8))),IF(VLOOKUP($B8,'Base de datos'!$A$3:$K$24,6,FALSE)="","",$E8*VLOOKUP($B8,'Base de datos'!$A$3:$K$24,6,FALSE)),IF(AND(IFERROR(VLOOKUP($B8,'Base de datos'!$A$3:$K$24,9,FALSE),"")&lt;&gt;"",IFERROR(VLOOKUP($B8,'Base de datos'!$A$3:$K$24,9,FALSE),"")&lt;&gt;0),"",IF(VLOOKUP($B8,'Base de datos'!$A$3:$K$24,6,FALSE)="","",$N8*VLOOKUP($B8,'Base de datos'!$A$3:$K$24,6,FALSE)))),"")))</f>
        <v/>
      </c>
      <c r="H8" s="18" t="str">
        <f>IF($B8="","",IF(OR(UPPER(IFERROR(VLOOKUP($B8,'Base de datos'!$A$3:$K$24,11,FALSE),""))="NO",ISNUMBER(SEARCH("no sometida",IFERROR(VLOOKUP($B8,'Base de datos'!$A$3:$K$24,10,FALSE),""))),ISNUMBER(SEARCH("no fiscal",IFERROR(VLOOKUP($B8,'Base de datos'!$A$3:$K$24,10,FALSE),"")))),"",IF(OR(ISNUMBER(SEARCH("Hach",$B8)),ISNUMBER(SEARCH("Ketamina",$B8))),"",IF(AND(IFERROR(VLOOKUP($B8,'Base de datos'!$A$3:$K$24,9,FALSE),"")&lt;&gt;"",IFERROR(VLOOKUP($B8,'Base de datos'!$A$3:$K$24,9,FALSE),"")&lt;&gt;0),$E8*IFERROR(VLOOKUP($B8,'Base de datos'!$A$3:$K$24,9,FALSE),""),IFERROR($O8*VLOOKUP($B8,'Base de datos'!$A$3:$K$24,4,FALSE),"")))))</f>
        <v/>
      </c>
      <c r="I8" s="16" t="str">
        <f>IFERROR(VLOOKUP($B8,'Base de datos'!$A$3:$K$24,7,FALSE),"")</f>
        <v/>
      </c>
      <c r="J8" s="19" t="str">
        <f>IFERROR(VLOOKUP($B8,'Base de datos'!$A$3:$K$24,10,FALSE),"")</f>
        <v/>
      </c>
      <c r="K8" s="17"/>
      <c r="L8" s="15"/>
      <c r="M8" s="17" t="str">
        <f>IF(OR(OR(UPPER(IFERROR(VLOOKUP($B8,'Base de datos'!$A$3:$K$24,11,FALSE),""))="NO",ISNUMBER(SEARCH("no sometida",IFERROR(VLOOKUP($B8,'Base de datos'!$A$3:$K$24,10,FALSE),""))),ISNUMBER(SEARCH("no fiscal",IFERROR(VLOOKUP($B8,'Base de datos'!$A$3:$K$24,10,FALSE),"")))),OR(ISNUMBER(SEARCH("Hach",$B8)),ISNUMBER(SEARCH("Ketamina",$B8))),AND(IFERROR(VLOOKUP($B8,'Base de datos'!$A$3:$K$24,9,FALSE),"")&lt;&gt;"",IFERROR(VLOOKUP($B8,'Base de datos'!$A$3:$K$24,9,FALSE),"")&lt;&gt;0)),"",IFERROR($E8*$C8/$I8,""))</f>
        <v/>
      </c>
      <c r="N8" s="17" t="str">
        <f>IF(OR(OR(UPPER(IFERROR(VLOOKUP($B8,'Base de datos'!$A$3:$K$24,11,FALSE),""))="NO",ISNUMBER(SEARCH("no sometida",IFERROR(VLOOKUP($B8,'Base de datos'!$A$3:$K$24,10,FALSE),""))),ISNUMBER(SEARCH("no fiscal",IFERROR(VLOOKUP($B8,'Base de datos'!$A$3:$K$24,10,FALSE),"")))),OR(ISNUMBER(SEARCH("Hach",$B8)),ISNUMBER(SEARCH("Ketamina",$B8))),AND(IFERROR(VLOOKUP($B8,'Base de datos'!$A$3:$K$24,9,FALSE),"")&lt;&gt;"",IFERROR(VLOOKUP($B8,'Base de datos'!$A$3:$K$24,9,FALSE),"")&lt;&gt;0)),"",IFERROR($E8*$C8/IFERROR(VLOOKUP($B8,'Base de datos'!$A$3:$K$24,5,FALSE),0),""))</f>
        <v/>
      </c>
      <c r="O8" s="17" t="str">
        <f>IF(OR(OR(UPPER(IFERROR(VLOOKUP($B8,'Base de datos'!$A$3:$K$24,11,FALSE),""))="NO",ISNUMBER(SEARCH("no sometida",IFERROR(VLOOKUP($B8,'Base de datos'!$A$3:$K$24,10,FALSE),""))),ISNUMBER(SEARCH("no fiscal",IFERROR(VLOOKUP($B8,'Base de datos'!$A$3:$K$24,10,FALSE),"")))),OR(ISNUMBER(SEARCH("Hach",$B8)),ISNUMBER(SEARCH("Ketamina",$B8))),AND(IFERROR(VLOOKUP($B8,'Base de datos'!$A$3:$K$24,9,FALSE),"")&lt;&gt;"",IFERROR(VLOOKUP($B8,'Base de datos'!$A$3:$K$24,9,FALSE),"")&lt;&gt;0)),"",IFERROR((($E8*$C8/IFERROR(VLOOKUP($B8,'Base de datos'!$A$3:$K$24,3,FALSE),0))*1000)/IFERROR(VLOOKUP($B8,'Base de datos'!$A$3:$K$24,2,FALSE),0),""))</f>
        <v/>
      </c>
    </row>
    <row r="9" spans="1:15" x14ac:dyDescent="0.25">
      <c r="A9" s="15"/>
      <c r="B9" s="15"/>
      <c r="C9" s="16" t="str">
        <f>IFERROR(VLOOKUP($B9,'Base de datos'!$A$3:$K$24,3,FALSE),"")</f>
        <v/>
      </c>
      <c r="D9" s="15" t="str">
        <f t="shared" si="0"/>
        <v/>
      </c>
      <c r="E9" s="17"/>
      <c r="F9" s="18" t="str">
        <f>IF($B9="","",IF(OR(UPPER(IFERROR(VLOOKUP($B9,'Base de datos'!$A$3:$K$24,11,FALSE),""))="NO",ISNUMBER(SEARCH("no sometida",IFERROR(VLOOKUP($B9,'Base de datos'!$A$3:$K$24,10,FALSE),""))),ISNUMBER(SEARCH("no fiscal",IFERROR(VLOOKUP($B9,'Base de datos'!$A$3:$K$24,10,FALSE),"")))),"",IF(OR(OR(ISNUMBER(SEARCH("Hach",$B9)),ISNUMBER(SEARCH("Ketamina",$B9))),AND(IFERROR(VLOOKUP($B9,'Base de datos'!$A$3:$K$24,9,FALSE),"")&lt;&gt;"",IFERROR(VLOOKUP($B9,'Base de datos'!$A$3:$K$24,9,FALSE),"")&lt;&gt;0)),"",IFERROR($M9*VLOOKUP($B9,'Base de datos'!$A$3:$K$24,8,FALSE)/1000,""))))</f>
        <v/>
      </c>
      <c r="G9" s="18" t="str">
        <f>IF($B9="","",IF(OR(UPPER(IFERROR(VLOOKUP($B9,'Base de datos'!$A$3:$K$24,11,FALSE),""))="NO",ISNUMBER(SEARCH("no sometida",IFERROR(VLOOKUP($B9,'Base de datos'!$A$3:$K$24,10,FALSE),""))),ISNUMBER(SEARCH("no fiscal",IFERROR(VLOOKUP($B9,'Base de datos'!$A$3:$K$24,10,FALSE),"")))),"",IFERROR(IF(OR(ISNUMBER(SEARCH("Hach",$B9)),ISNUMBER(SEARCH("Ketamina",$B9))),IF(VLOOKUP($B9,'Base de datos'!$A$3:$K$24,6,FALSE)="","",$E9*VLOOKUP($B9,'Base de datos'!$A$3:$K$24,6,FALSE)),IF(AND(IFERROR(VLOOKUP($B9,'Base de datos'!$A$3:$K$24,9,FALSE),"")&lt;&gt;"",IFERROR(VLOOKUP($B9,'Base de datos'!$A$3:$K$24,9,FALSE),"")&lt;&gt;0),"",IF(VLOOKUP($B9,'Base de datos'!$A$3:$K$24,6,FALSE)="","",$N9*VLOOKUP($B9,'Base de datos'!$A$3:$K$24,6,FALSE)))),"")))</f>
        <v/>
      </c>
      <c r="H9" s="18" t="str">
        <f>IF($B9="","",IF(OR(UPPER(IFERROR(VLOOKUP($B9,'Base de datos'!$A$3:$K$24,11,FALSE),""))="NO",ISNUMBER(SEARCH("no sometida",IFERROR(VLOOKUP($B9,'Base de datos'!$A$3:$K$24,10,FALSE),""))),ISNUMBER(SEARCH("no fiscal",IFERROR(VLOOKUP($B9,'Base de datos'!$A$3:$K$24,10,FALSE),"")))),"",IF(OR(ISNUMBER(SEARCH("Hach",$B9)),ISNUMBER(SEARCH("Ketamina",$B9))),"",IF(AND(IFERROR(VLOOKUP($B9,'Base de datos'!$A$3:$K$24,9,FALSE),"")&lt;&gt;"",IFERROR(VLOOKUP($B9,'Base de datos'!$A$3:$K$24,9,FALSE),"")&lt;&gt;0),$E9*IFERROR(VLOOKUP($B9,'Base de datos'!$A$3:$K$24,9,FALSE),""),IFERROR($O9*VLOOKUP($B9,'Base de datos'!$A$3:$K$24,4,FALSE),"")))))</f>
        <v/>
      </c>
      <c r="I9" s="16" t="str">
        <f>IFERROR(VLOOKUP($B9,'Base de datos'!$A$3:$K$24,7,FALSE),"")</f>
        <v/>
      </c>
      <c r="J9" s="19" t="str">
        <f>IFERROR(VLOOKUP($B9,'Base de datos'!$A$3:$K$24,10,FALSE),"")</f>
        <v/>
      </c>
      <c r="K9" s="17"/>
      <c r="L9" s="15"/>
      <c r="M9" s="17" t="str">
        <f>IF(OR(OR(UPPER(IFERROR(VLOOKUP($B9,'Base de datos'!$A$3:$K$24,11,FALSE),""))="NO",ISNUMBER(SEARCH("no sometida",IFERROR(VLOOKUP($B9,'Base de datos'!$A$3:$K$24,10,FALSE),""))),ISNUMBER(SEARCH("no fiscal",IFERROR(VLOOKUP($B9,'Base de datos'!$A$3:$K$24,10,FALSE),"")))),OR(ISNUMBER(SEARCH("Hach",$B9)),ISNUMBER(SEARCH("Ketamina",$B9))),AND(IFERROR(VLOOKUP($B9,'Base de datos'!$A$3:$K$24,9,FALSE),"")&lt;&gt;"",IFERROR(VLOOKUP($B9,'Base de datos'!$A$3:$K$24,9,FALSE),"")&lt;&gt;0)),"",IFERROR($E9*$C9/$I9,""))</f>
        <v/>
      </c>
      <c r="N9" s="17" t="str">
        <f>IF(OR(OR(UPPER(IFERROR(VLOOKUP($B9,'Base de datos'!$A$3:$K$24,11,FALSE),""))="NO",ISNUMBER(SEARCH("no sometida",IFERROR(VLOOKUP($B9,'Base de datos'!$A$3:$K$24,10,FALSE),""))),ISNUMBER(SEARCH("no fiscal",IFERROR(VLOOKUP($B9,'Base de datos'!$A$3:$K$24,10,FALSE),"")))),OR(ISNUMBER(SEARCH("Hach",$B9)),ISNUMBER(SEARCH("Ketamina",$B9))),AND(IFERROR(VLOOKUP($B9,'Base de datos'!$A$3:$K$24,9,FALSE),"")&lt;&gt;"",IFERROR(VLOOKUP($B9,'Base de datos'!$A$3:$K$24,9,FALSE),"")&lt;&gt;0)),"",IFERROR($E9*$C9/IFERROR(VLOOKUP($B9,'Base de datos'!$A$3:$K$24,5,FALSE),0),""))</f>
        <v/>
      </c>
      <c r="O9" s="17" t="str">
        <f>IF(OR(OR(UPPER(IFERROR(VLOOKUP($B9,'Base de datos'!$A$3:$K$24,11,FALSE),""))="NO",ISNUMBER(SEARCH("no sometida",IFERROR(VLOOKUP($B9,'Base de datos'!$A$3:$K$24,10,FALSE),""))),ISNUMBER(SEARCH("no fiscal",IFERROR(VLOOKUP($B9,'Base de datos'!$A$3:$K$24,10,FALSE),"")))),OR(ISNUMBER(SEARCH("Hach",$B9)),ISNUMBER(SEARCH("Ketamina",$B9))),AND(IFERROR(VLOOKUP($B9,'Base de datos'!$A$3:$K$24,9,FALSE),"")&lt;&gt;"",IFERROR(VLOOKUP($B9,'Base de datos'!$A$3:$K$24,9,FALSE),"")&lt;&gt;0)),"",IFERROR((($E9*$C9/IFERROR(VLOOKUP($B9,'Base de datos'!$A$3:$K$24,3,FALSE),0))*1000)/IFERROR(VLOOKUP($B9,'Base de datos'!$A$3:$K$24,2,FALSE),0),""))</f>
        <v/>
      </c>
    </row>
    <row r="10" spans="1:15" x14ac:dyDescent="0.25">
      <c r="A10" s="15"/>
      <c r="B10" s="15"/>
      <c r="C10" s="16" t="str">
        <f>IFERROR(VLOOKUP($B10,'Base de datos'!$A$3:$K$24,3,FALSE),"")</f>
        <v/>
      </c>
      <c r="D10" s="15" t="str">
        <f t="shared" si="0"/>
        <v/>
      </c>
      <c r="E10" s="17"/>
      <c r="F10" s="18" t="str">
        <f>IF($B10="","",IF(OR(UPPER(IFERROR(VLOOKUP($B10,'Base de datos'!$A$3:$K$24,11,FALSE),""))="NO",ISNUMBER(SEARCH("no sometida",IFERROR(VLOOKUP($B10,'Base de datos'!$A$3:$K$24,10,FALSE),""))),ISNUMBER(SEARCH("no fiscal",IFERROR(VLOOKUP($B10,'Base de datos'!$A$3:$K$24,10,FALSE),"")))),"",IF(OR(OR(ISNUMBER(SEARCH("Hach",$B10)),ISNUMBER(SEARCH("Ketamina",$B10))),AND(IFERROR(VLOOKUP($B10,'Base de datos'!$A$3:$K$24,9,FALSE),"")&lt;&gt;"",IFERROR(VLOOKUP($B10,'Base de datos'!$A$3:$K$24,9,FALSE),"")&lt;&gt;0)),"",IFERROR($M10*VLOOKUP($B10,'Base de datos'!$A$3:$K$24,8,FALSE)/1000,""))))</f>
        <v/>
      </c>
      <c r="G10" s="18" t="str">
        <f>IF($B10="","",IF(OR(UPPER(IFERROR(VLOOKUP($B10,'Base de datos'!$A$3:$K$24,11,FALSE),""))="NO",ISNUMBER(SEARCH("no sometida",IFERROR(VLOOKUP($B10,'Base de datos'!$A$3:$K$24,10,FALSE),""))),ISNUMBER(SEARCH("no fiscal",IFERROR(VLOOKUP($B10,'Base de datos'!$A$3:$K$24,10,FALSE),"")))),"",IFERROR(IF(OR(ISNUMBER(SEARCH("Hach",$B10)),ISNUMBER(SEARCH("Ketamina",$B10))),IF(VLOOKUP($B10,'Base de datos'!$A$3:$K$24,6,FALSE)="","",$E10*VLOOKUP($B10,'Base de datos'!$A$3:$K$24,6,FALSE)),IF(AND(IFERROR(VLOOKUP($B10,'Base de datos'!$A$3:$K$24,9,FALSE),"")&lt;&gt;"",IFERROR(VLOOKUP($B10,'Base de datos'!$A$3:$K$24,9,FALSE),"")&lt;&gt;0),"",IF(VLOOKUP($B10,'Base de datos'!$A$3:$K$24,6,FALSE)="","",$N10*VLOOKUP($B10,'Base de datos'!$A$3:$K$24,6,FALSE)))),"")))</f>
        <v/>
      </c>
      <c r="H10" s="18" t="str">
        <f>IF($B10="","",IF(OR(UPPER(IFERROR(VLOOKUP($B10,'Base de datos'!$A$3:$K$24,11,FALSE),""))="NO",ISNUMBER(SEARCH("no sometida",IFERROR(VLOOKUP($B10,'Base de datos'!$A$3:$K$24,10,FALSE),""))),ISNUMBER(SEARCH("no fiscal",IFERROR(VLOOKUP($B10,'Base de datos'!$A$3:$K$24,10,FALSE),"")))),"",IF(OR(ISNUMBER(SEARCH("Hach",$B10)),ISNUMBER(SEARCH("Ketamina",$B10))),"",IF(AND(IFERROR(VLOOKUP($B10,'Base de datos'!$A$3:$K$24,9,FALSE),"")&lt;&gt;"",IFERROR(VLOOKUP($B10,'Base de datos'!$A$3:$K$24,9,FALSE),"")&lt;&gt;0),$E10*IFERROR(VLOOKUP($B10,'Base de datos'!$A$3:$K$24,9,FALSE),""),IFERROR($O10*VLOOKUP($B10,'Base de datos'!$A$3:$K$24,4,FALSE),"")))))</f>
        <v/>
      </c>
      <c r="I10" s="16" t="str">
        <f>IFERROR(VLOOKUP($B10,'Base de datos'!$A$3:$K$24,7,FALSE),"")</f>
        <v/>
      </c>
      <c r="J10" s="19" t="str">
        <f>IFERROR(VLOOKUP($B10,'Base de datos'!$A$3:$K$24,10,FALSE),"")</f>
        <v/>
      </c>
      <c r="K10" s="17"/>
      <c r="L10" s="15"/>
      <c r="M10" s="17" t="str">
        <f>IF(OR(OR(UPPER(IFERROR(VLOOKUP($B10,'Base de datos'!$A$3:$K$24,11,FALSE),""))="NO",ISNUMBER(SEARCH("no sometida",IFERROR(VLOOKUP($B10,'Base de datos'!$A$3:$K$24,10,FALSE),""))),ISNUMBER(SEARCH("no fiscal",IFERROR(VLOOKUP($B10,'Base de datos'!$A$3:$K$24,10,FALSE),"")))),OR(ISNUMBER(SEARCH("Hach",$B10)),ISNUMBER(SEARCH("Ketamina",$B10))),AND(IFERROR(VLOOKUP($B10,'Base de datos'!$A$3:$K$24,9,FALSE),"")&lt;&gt;"",IFERROR(VLOOKUP($B10,'Base de datos'!$A$3:$K$24,9,FALSE),"")&lt;&gt;0)),"",IFERROR($E10*$C10/$I10,""))</f>
        <v/>
      </c>
      <c r="N10" s="17" t="str">
        <f>IF(OR(OR(UPPER(IFERROR(VLOOKUP($B10,'Base de datos'!$A$3:$K$24,11,FALSE),""))="NO",ISNUMBER(SEARCH("no sometida",IFERROR(VLOOKUP($B10,'Base de datos'!$A$3:$K$24,10,FALSE),""))),ISNUMBER(SEARCH("no fiscal",IFERROR(VLOOKUP($B10,'Base de datos'!$A$3:$K$24,10,FALSE),"")))),OR(ISNUMBER(SEARCH("Hach",$B10)),ISNUMBER(SEARCH("Ketamina",$B10))),AND(IFERROR(VLOOKUP($B10,'Base de datos'!$A$3:$K$24,9,FALSE),"")&lt;&gt;"",IFERROR(VLOOKUP($B10,'Base de datos'!$A$3:$K$24,9,FALSE),"")&lt;&gt;0)),"",IFERROR($E10*$C10/IFERROR(VLOOKUP($B10,'Base de datos'!$A$3:$K$24,5,FALSE),0),""))</f>
        <v/>
      </c>
      <c r="O10" s="17" t="str">
        <f>IF(OR(OR(UPPER(IFERROR(VLOOKUP($B10,'Base de datos'!$A$3:$K$24,11,FALSE),""))="NO",ISNUMBER(SEARCH("no sometida",IFERROR(VLOOKUP($B10,'Base de datos'!$A$3:$K$24,10,FALSE),""))),ISNUMBER(SEARCH("no fiscal",IFERROR(VLOOKUP($B10,'Base de datos'!$A$3:$K$24,10,FALSE),"")))),OR(ISNUMBER(SEARCH("Hach",$B10)),ISNUMBER(SEARCH("Ketamina",$B10))),AND(IFERROR(VLOOKUP($B10,'Base de datos'!$A$3:$K$24,9,FALSE),"")&lt;&gt;"",IFERROR(VLOOKUP($B10,'Base de datos'!$A$3:$K$24,9,FALSE),"")&lt;&gt;0)),"",IFERROR((($E10*$C10/IFERROR(VLOOKUP($B10,'Base de datos'!$A$3:$K$24,3,FALSE),0))*1000)/IFERROR(VLOOKUP($B10,'Base de datos'!$A$3:$K$24,2,FALSE),0),""))</f>
        <v/>
      </c>
    </row>
    <row r="11" spans="1:15" x14ac:dyDescent="0.25">
      <c r="A11" s="15"/>
      <c r="B11" s="15"/>
      <c r="C11" s="16" t="str">
        <f>IFERROR(VLOOKUP($B11,'Base de datos'!$A$3:$K$24,3,FALSE),"")</f>
        <v/>
      </c>
      <c r="D11" s="15" t="str">
        <f t="shared" si="0"/>
        <v/>
      </c>
      <c r="E11" s="17"/>
      <c r="F11" s="18" t="str">
        <f>IF($B11="","",IF(OR(UPPER(IFERROR(VLOOKUP($B11,'Base de datos'!$A$3:$K$24,11,FALSE),""))="NO",ISNUMBER(SEARCH("no sometida",IFERROR(VLOOKUP($B11,'Base de datos'!$A$3:$K$24,10,FALSE),""))),ISNUMBER(SEARCH("no fiscal",IFERROR(VLOOKUP($B11,'Base de datos'!$A$3:$K$24,10,FALSE),"")))),"",IF(OR(OR(ISNUMBER(SEARCH("Hach",$B11)),ISNUMBER(SEARCH("Ketamina",$B11))),AND(IFERROR(VLOOKUP($B11,'Base de datos'!$A$3:$K$24,9,FALSE),"")&lt;&gt;"",IFERROR(VLOOKUP($B11,'Base de datos'!$A$3:$K$24,9,FALSE),"")&lt;&gt;0)),"",IFERROR($M11*VLOOKUP($B11,'Base de datos'!$A$3:$K$24,8,FALSE)/1000,""))))</f>
        <v/>
      </c>
      <c r="G11" s="18" t="str">
        <f>IF($B11="","",IF(OR(UPPER(IFERROR(VLOOKUP($B11,'Base de datos'!$A$3:$K$24,11,FALSE),""))="NO",ISNUMBER(SEARCH("no sometida",IFERROR(VLOOKUP($B11,'Base de datos'!$A$3:$K$24,10,FALSE),""))),ISNUMBER(SEARCH("no fiscal",IFERROR(VLOOKUP($B11,'Base de datos'!$A$3:$K$24,10,FALSE),"")))),"",IFERROR(IF(OR(ISNUMBER(SEARCH("Hach",$B11)),ISNUMBER(SEARCH("Ketamina",$B11))),IF(VLOOKUP($B11,'Base de datos'!$A$3:$K$24,6,FALSE)="","",$E11*VLOOKUP($B11,'Base de datos'!$A$3:$K$24,6,FALSE)),IF(AND(IFERROR(VLOOKUP($B11,'Base de datos'!$A$3:$K$24,9,FALSE),"")&lt;&gt;"",IFERROR(VLOOKUP($B11,'Base de datos'!$A$3:$K$24,9,FALSE),"")&lt;&gt;0),"",IF(VLOOKUP($B11,'Base de datos'!$A$3:$K$24,6,FALSE)="","",$N11*VLOOKUP($B11,'Base de datos'!$A$3:$K$24,6,FALSE)))),"")))</f>
        <v/>
      </c>
      <c r="H11" s="18" t="str">
        <f>IF($B11="","",IF(OR(UPPER(IFERROR(VLOOKUP($B11,'Base de datos'!$A$3:$K$24,11,FALSE),""))="NO",ISNUMBER(SEARCH("no sometida",IFERROR(VLOOKUP($B11,'Base de datos'!$A$3:$K$24,10,FALSE),""))),ISNUMBER(SEARCH("no fiscal",IFERROR(VLOOKUP($B11,'Base de datos'!$A$3:$K$24,10,FALSE),"")))),"",IF(OR(ISNUMBER(SEARCH("Hach",$B11)),ISNUMBER(SEARCH("Ketamina",$B11))),"",IF(AND(IFERROR(VLOOKUP($B11,'Base de datos'!$A$3:$K$24,9,FALSE),"")&lt;&gt;"",IFERROR(VLOOKUP($B11,'Base de datos'!$A$3:$K$24,9,FALSE),"")&lt;&gt;0),$E11*IFERROR(VLOOKUP($B11,'Base de datos'!$A$3:$K$24,9,FALSE),""),IFERROR($O11*VLOOKUP($B11,'Base de datos'!$A$3:$K$24,4,FALSE),"")))))</f>
        <v/>
      </c>
      <c r="I11" s="16" t="str">
        <f>IFERROR(VLOOKUP($B11,'Base de datos'!$A$3:$K$24,7,FALSE),"")</f>
        <v/>
      </c>
      <c r="J11" s="19" t="str">
        <f>IFERROR(VLOOKUP($B11,'Base de datos'!$A$3:$K$24,10,FALSE),"")</f>
        <v/>
      </c>
      <c r="K11" s="17"/>
      <c r="L11" s="15"/>
      <c r="M11" s="17" t="str">
        <f>IF(OR(OR(UPPER(IFERROR(VLOOKUP($B11,'Base de datos'!$A$3:$K$24,11,FALSE),""))="NO",ISNUMBER(SEARCH("no sometida",IFERROR(VLOOKUP($B11,'Base de datos'!$A$3:$K$24,10,FALSE),""))),ISNUMBER(SEARCH("no fiscal",IFERROR(VLOOKUP($B11,'Base de datos'!$A$3:$K$24,10,FALSE),"")))),OR(ISNUMBER(SEARCH("Hach",$B11)),ISNUMBER(SEARCH("Ketamina",$B11))),AND(IFERROR(VLOOKUP($B11,'Base de datos'!$A$3:$K$24,9,FALSE),"")&lt;&gt;"",IFERROR(VLOOKUP($B11,'Base de datos'!$A$3:$K$24,9,FALSE),"")&lt;&gt;0)),"",IFERROR($E11*$C11/$I11,""))</f>
        <v/>
      </c>
      <c r="N11" s="17" t="str">
        <f>IF(OR(OR(UPPER(IFERROR(VLOOKUP($B11,'Base de datos'!$A$3:$K$24,11,FALSE),""))="NO",ISNUMBER(SEARCH("no sometida",IFERROR(VLOOKUP($B11,'Base de datos'!$A$3:$K$24,10,FALSE),""))),ISNUMBER(SEARCH("no fiscal",IFERROR(VLOOKUP($B11,'Base de datos'!$A$3:$K$24,10,FALSE),"")))),OR(ISNUMBER(SEARCH("Hach",$B11)),ISNUMBER(SEARCH("Ketamina",$B11))),AND(IFERROR(VLOOKUP($B11,'Base de datos'!$A$3:$K$24,9,FALSE),"")&lt;&gt;"",IFERROR(VLOOKUP($B11,'Base de datos'!$A$3:$K$24,9,FALSE),"")&lt;&gt;0)),"",IFERROR($E11*$C11/IFERROR(VLOOKUP($B11,'Base de datos'!$A$3:$K$24,5,FALSE),0),""))</f>
        <v/>
      </c>
      <c r="O11" s="17" t="str">
        <f>IF(OR(OR(UPPER(IFERROR(VLOOKUP($B11,'Base de datos'!$A$3:$K$24,11,FALSE),""))="NO",ISNUMBER(SEARCH("no sometida",IFERROR(VLOOKUP($B11,'Base de datos'!$A$3:$K$24,10,FALSE),""))),ISNUMBER(SEARCH("no fiscal",IFERROR(VLOOKUP($B11,'Base de datos'!$A$3:$K$24,10,FALSE),"")))),OR(ISNUMBER(SEARCH("Hach",$B11)),ISNUMBER(SEARCH("Ketamina",$B11))),AND(IFERROR(VLOOKUP($B11,'Base de datos'!$A$3:$K$24,9,FALSE),"")&lt;&gt;"",IFERROR(VLOOKUP($B11,'Base de datos'!$A$3:$K$24,9,FALSE),"")&lt;&gt;0)),"",IFERROR((($E11*$C11/IFERROR(VLOOKUP($B11,'Base de datos'!$A$3:$K$24,3,FALSE),0))*1000)/IFERROR(VLOOKUP($B11,'Base de datos'!$A$3:$K$24,2,FALSE),0),""))</f>
        <v/>
      </c>
    </row>
    <row r="12" spans="1:15" x14ac:dyDescent="0.25">
      <c r="A12" s="15"/>
      <c r="B12" s="15"/>
      <c r="C12" s="16" t="str">
        <f>IFERROR(VLOOKUP($B12,'Base de datos'!$A$3:$K$24,3,FALSE),"")</f>
        <v/>
      </c>
      <c r="D12" s="15" t="str">
        <f t="shared" si="0"/>
        <v/>
      </c>
      <c r="E12" s="17"/>
      <c r="F12" s="18" t="str">
        <f>IF($B12="","",IF(OR(UPPER(IFERROR(VLOOKUP($B12,'Base de datos'!$A$3:$K$24,11,FALSE),""))="NO",ISNUMBER(SEARCH("no sometida",IFERROR(VLOOKUP($B12,'Base de datos'!$A$3:$K$24,10,FALSE),""))),ISNUMBER(SEARCH("no fiscal",IFERROR(VLOOKUP($B12,'Base de datos'!$A$3:$K$24,10,FALSE),"")))),"",IF(OR(OR(ISNUMBER(SEARCH("Hach",$B12)),ISNUMBER(SEARCH("Ketamina",$B12))),AND(IFERROR(VLOOKUP($B12,'Base de datos'!$A$3:$K$24,9,FALSE),"")&lt;&gt;"",IFERROR(VLOOKUP($B12,'Base de datos'!$A$3:$K$24,9,FALSE),"")&lt;&gt;0)),"",IFERROR($M12*VLOOKUP($B12,'Base de datos'!$A$3:$K$24,8,FALSE)/1000,""))))</f>
        <v/>
      </c>
      <c r="G12" s="18" t="str">
        <f>IF($B12="","",IF(OR(UPPER(IFERROR(VLOOKUP($B12,'Base de datos'!$A$3:$K$24,11,FALSE),""))="NO",ISNUMBER(SEARCH("no sometida",IFERROR(VLOOKUP($B12,'Base de datos'!$A$3:$K$24,10,FALSE),""))),ISNUMBER(SEARCH("no fiscal",IFERROR(VLOOKUP($B12,'Base de datos'!$A$3:$K$24,10,FALSE),"")))),"",IFERROR(IF(OR(ISNUMBER(SEARCH("Hach",$B12)),ISNUMBER(SEARCH("Ketamina",$B12))),IF(VLOOKUP($B12,'Base de datos'!$A$3:$K$24,6,FALSE)="","",$E12*VLOOKUP($B12,'Base de datos'!$A$3:$K$24,6,FALSE)),IF(AND(IFERROR(VLOOKUP($B12,'Base de datos'!$A$3:$K$24,9,FALSE),"")&lt;&gt;"",IFERROR(VLOOKUP($B12,'Base de datos'!$A$3:$K$24,9,FALSE),"")&lt;&gt;0),"",IF(VLOOKUP($B12,'Base de datos'!$A$3:$K$24,6,FALSE)="","",$N12*VLOOKUP($B12,'Base de datos'!$A$3:$K$24,6,FALSE)))),"")))</f>
        <v/>
      </c>
      <c r="H12" s="18" t="str">
        <f>IF($B12="","",IF(OR(UPPER(IFERROR(VLOOKUP($B12,'Base de datos'!$A$3:$K$24,11,FALSE),""))="NO",ISNUMBER(SEARCH("no sometida",IFERROR(VLOOKUP($B12,'Base de datos'!$A$3:$K$24,10,FALSE),""))),ISNUMBER(SEARCH("no fiscal",IFERROR(VLOOKUP($B12,'Base de datos'!$A$3:$K$24,10,FALSE),"")))),"",IF(OR(ISNUMBER(SEARCH("Hach",$B12)),ISNUMBER(SEARCH("Ketamina",$B12))),"",IF(AND(IFERROR(VLOOKUP($B12,'Base de datos'!$A$3:$K$24,9,FALSE),"")&lt;&gt;"",IFERROR(VLOOKUP($B12,'Base de datos'!$A$3:$K$24,9,FALSE),"")&lt;&gt;0),$E12*IFERROR(VLOOKUP($B12,'Base de datos'!$A$3:$K$24,9,FALSE),""),IFERROR($O12*VLOOKUP($B12,'Base de datos'!$A$3:$K$24,4,FALSE),"")))))</f>
        <v/>
      </c>
      <c r="I12" s="16" t="str">
        <f>IFERROR(VLOOKUP($B12,'Base de datos'!$A$3:$K$24,7,FALSE),"")</f>
        <v/>
      </c>
      <c r="J12" s="19" t="str">
        <f>IFERROR(VLOOKUP($B12,'Base de datos'!$A$3:$K$24,10,FALSE),"")</f>
        <v/>
      </c>
      <c r="K12" s="17"/>
      <c r="L12" s="15"/>
      <c r="M12" s="17" t="str">
        <f>IF(OR(OR(UPPER(IFERROR(VLOOKUP($B12,'Base de datos'!$A$3:$K$24,11,FALSE),""))="NO",ISNUMBER(SEARCH("no sometida",IFERROR(VLOOKUP($B12,'Base de datos'!$A$3:$K$24,10,FALSE),""))),ISNUMBER(SEARCH("no fiscal",IFERROR(VLOOKUP($B12,'Base de datos'!$A$3:$K$24,10,FALSE),"")))),OR(ISNUMBER(SEARCH("Hach",$B12)),ISNUMBER(SEARCH("Ketamina",$B12))),AND(IFERROR(VLOOKUP($B12,'Base de datos'!$A$3:$K$24,9,FALSE),"")&lt;&gt;"",IFERROR(VLOOKUP($B12,'Base de datos'!$A$3:$K$24,9,FALSE),"")&lt;&gt;0)),"",IFERROR($E12*$C12/$I12,""))</f>
        <v/>
      </c>
      <c r="N12" s="17" t="str">
        <f>IF(OR(OR(UPPER(IFERROR(VLOOKUP($B12,'Base de datos'!$A$3:$K$24,11,FALSE),""))="NO",ISNUMBER(SEARCH("no sometida",IFERROR(VLOOKUP($B12,'Base de datos'!$A$3:$K$24,10,FALSE),""))),ISNUMBER(SEARCH("no fiscal",IFERROR(VLOOKUP($B12,'Base de datos'!$A$3:$K$24,10,FALSE),"")))),OR(ISNUMBER(SEARCH("Hach",$B12)),ISNUMBER(SEARCH("Ketamina",$B12))),AND(IFERROR(VLOOKUP($B12,'Base de datos'!$A$3:$K$24,9,FALSE),"")&lt;&gt;"",IFERROR(VLOOKUP($B12,'Base de datos'!$A$3:$K$24,9,FALSE),"")&lt;&gt;0)),"",IFERROR($E12*$C12/IFERROR(VLOOKUP($B12,'Base de datos'!$A$3:$K$24,5,FALSE),0),""))</f>
        <v/>
      </c>
      <c r="O12" s="17" t="str">
        <f>IF(OR(OR(UPPER(IFERROR(VLOOKUP($B12,'Base de datos'!$A$3:$K$24,11,FALSE),""))="NO",ISNUMBER(SEARCH("no sometida",IFERROR(VLOOKUP($B12,'Base de datos'!$A$3:$K$24,10,FALSE),""))),ISNUMBER(SEARCH("no fiscal",IFERROR(VLOOKUP($B12,'Base de datos'!$A$3:$K$24,10,FALSE),"")))),OR(ISNUMBER(SEARCH("Hach",$B12)),ISNUMBER(SEARCH("Ketamina",$B12))),AND(IFERROR(VLOOKUP($B12,'Base de datos'!$A$3:$K$24,9,FALSE),"")&lt;&gt;"",IFERROR(VLOOKUP($B12,'Base de datos'!$A$3:$K$24,9,FALSE),"")&lt;&gt;0)),"",IFERROR((($E12*$C12/IFERROR(VLOOKUP($B12,'Base de datos'!$A$3:$K$24,3,FALSE),0))*1000)/IFERROR(VLOOKUP($B12,'Base de datos'!$A$3:$K$24,2,FALSE),0),""))</f>
        <v/>
      </c>
    </row>
    <row r="13" spans="1:15" x14ac:dyDescent="0.25">
      <c r="A13" s="15"/>
      <c r="B13" s="15"/>
      <c r="C13" s="16" t="str">
        <f>IFERROR(VLOOKUP($B13,'Base de datos'!$A$3:$K$24,3,FALSE),"")</f>
        <v/>
      </c>
      <c r="D13" s="15" t="str">
        <f t="shared" si="0"/>
        <v/>
      </c>
      <c r="E13" s="17"/>
      <c r="F13" s="18" t="str">
        <f>IF($B13="","",IF(OR(UPPER(IFERROR(VLOOKUP($B13,'Base de datos'!$A$3:$K$24,11,FALSE),""))="NO",ISNUMBER(SEARCH("no sometida",IFERROR(VLOOKUP($B13,'Base de datos'!$A$3:$K$24,10,FALSE),""))),ISNUMBER(SEARCH("no fiscal",IFERROR(VLOOKUP($B13,'Base de datos'!$A$3:$K$24,10,FALSE),"")))),"",IF(OR(OR(ISNUMBER(SEARCH("Hach",$B13)),ISNUMBER(SEARCH("Ketamina",$B13))),AND(IFERROR(VLOOKUP($B13,'Base de datos'!$A$3:$K$24,9,FALSE),"")&lt;&gt;"",IFERROR(VLOOKUP($B13,'Base de datos'!$A$3:$K$24,9,FALSE),"")&lt;&gt;0)),"",IFERROR($M13*VLOOKUP($B13,'Base de datos'!$A$3:$K$24,8,FALSE)/1000,""))))</f>
        <v/>
      </c>
      <c r="G13" s="18" t="str">
        <f>IF($B13="","",IF(OR(UPPER(IFERROR(VLOOKUP($B13,'Base de datos'!$A$3:$K$24,11,FALSE),""))="NO",ISNUMBER(SEARCH("no sometida",IFERROR(VLOOKUP($B13,'Base de datos'!$A$3:$K$24,10,FALSE),""))),ISNUMBER(SEARCH("no fiscal",IFERROR(VLOOKUP($B13,'Base de datos'!$A$3:$K$24,10,FALSE),"")))),"",IFERROR(IF(OR(ISNUMBER(SEARCH("Hach",$B13)),ISNUMBER(SEARCH("Ketamina",$B13))),IF(VLOOKUP($B13,'Base de datos'!$A$3:$K$24,6,FALSE)="","",$E13*VLOOKUP($B13,'Base de datos'!$A$3:$K$24,6,FALSE)),IF(AND(IFERROR(VLOOKUP($B13,'Base de datos'!$A$3:$K$24,9,FALSE),"")&lt;&gt;"",IFERROR(VLOOKUP($B13,'Base de datos'!$A$3:$K$24,9,FALSE),"")&lt;&gt;0),"",IF(VLOOKUP($B13,'Base de datos'!$A$3:$K$24,6,FALSE)="","",$N13*VLOOKUP($B13,'Base de datos'!$A$3:$K$24,6,FALSE)))),"")))</f>
        <v/>
      </c>
      <c r="H13" s="18" t="str">
        <f>IF($B13="","",IF(OR(UPPER(IFERROR(VLOOKUP($B13,'Base de datos'!$A$3:$K$24,11,FALSE),""))="NO",ISNUMBER(SEARCH("no sometida",IFERROR(VLOOKUP($B13,'Base de datos'!$A$3:$K$24,10,FALSE),""))),ISNUMBER(SEARCH("no fiscal",IFERROR(VLOOKUP($B13,'Base de datos'!$A$3:$K$24,10,FALSE),"")))),"",IF(OR(ISNUMBER(SEARCH("Hach",$B13)),ISNUMBER(SEARCH("Ketamina",$B13))),"",IF(AND(IFERROR(VLOOKUP($B13,'Base de datos'!$A$3:$K$24,9,FALSE),"")&lt;&gt;"",IFERROR(VLOOKUP($B13,'Base de datos'!$A$3:$K$24,9,FALSE),"")&lt;&gt;0),$E13*IFERROR(VLOOKUP($B13,'Base de datos'!$A$3:$K$24,9,FALSE),""),IFERROR($O13*VLOOKUP($B13,'Base de datos'!$A$3:$K$24,4,FALSE),"")))))</f>
        <v/>
      </c>
      <c r="I13" s="16" t="str">
        <f>IFERROR(VLOOKUP($B13,'Base de datos'!$A$3:$K$24,7,FALSE),"")</f>
        <v/>
      </c>
      <c r="J13" s="19" t="str">
        <f>IFERROR(VLOOKUP($B13,'Base de datos'!$A$3:$K$24,10,FALSE),"")</f>
        <v/>
      </c>
      <c r="K13" s="17"/>
      <c r="L13" s="15"/>
      <c r="M13" s="17" t="str">
        <f>IF(OR(OR(UPPER(IFERROR(VLOOKUP($B13,'Base de datos'!$A$3:$K$24,11,FALSE),""))="NO",ISNUMBER(SEARCH("no sometida",IFERROR(VLOOKUP($B13,'Base de datos'!$A$3:$K$24,10,FALSE),""))),ISNUMBER(SEARCH("no fiscal",IFERROR(VLOOKUP($B13,'Base de datos'!$A$3:$K$24,10,FALSE),"")))),OR(ISNUMBER(SEARCH("Hach",$B13)),ISNUMBER(SEARCH("Ketamina",$B13))),AND(IFERROR(VLOOKUP($B13,'Base de datos'!$A$3:$K$24,9,FALSE),"")&lt;&gt;"",IFERROR(VLOOKUP($B13,'Base de datos'!$A$3:$K$24,9,FALSE),"")&lt;&gt;0)),"",IFERROR($E13*$C13/$I13,""))</f>
        <v/>
      </c>
      <c r="N13" s="17" t="str">
        <f>IF(OR(OR(UPPER(IFERROR(VLOOKUP($B13,'Base de datos'!$A$3:$K$24,11,FALSE),""))="NO",ISNUMBER(SEARCH("no sometida",IFERROR(VLOOKUP($B13,'Base de datos'!$A$3:$K$24,10,FALSE),""))),ISNUMBER(SEARCH("no fiscal",IFERROR(VLOOKUP($B13,'Base de datos'!$A$3:$K$24,10,FALSE),"")))),OR(ISNUMBER(SEARCH("Hach",$B13)),ISNUMBER(SEARCH("Ketamina",$B13))),AND(IFERROR(VLOOKUP($B13,'Base de datos'!$A$3:$K$24,9,FALSE),"")&lt;&gt;"",IFERROR(VLOOKUP($B13,'Base de datos'!$A$3:$K$24,9,FALSE),"")&lt;&gt;0)),"",IFERROR($E13*$C13/IFERROR(VLOOKUP($B13,'Base de datos'!$A$3:$K$24,5,FALSE),0),""))</f>
        <v/>
      </c>
      <c r="O13" s="17" t="str">
        <f>IF(OR(OR(UPPER(IFERROR(VLOOKUP($B13,'Base de datos'!$A$3:$K$24,11,FALSE),""))="NO",ISNUMBER(SEARCH("no sometida",IFERROR(VLOOKUP($B13,'Base de datos'!$A$3:$K$24,10,FALSE),""))),ISNUMBER(SEARCH("no fiscal",IFERROR(VLOOKUP($B13,'Base de datos'!$A$3:$K$24,10,FALSE),"")))),OR(ISNUMBER(SEARCH("Hach",$B13)),ISNUMBER(SEARCH("Ketamina",$B13))),AND(IFERROR(VLOOKUP($B13,'Base de datos'!$A$3:$K$24,9,FALSE),"")&lt;&gt;"",IFERROR(VLOOKUP($B13,'Base de datos'!$A$3:$K$24,9,FALSE),"")&lt;&gt;0)),"",IFERROR((($E13*$C13/IFERROR(VLOOKUP($B13,'Base de datos'!$A$3:$K$24,3,FALSE),0))*1000)/IFERROR(VLOOKUP($B13,'Base de datos'!$A$3:$K$24,2,FALSE),0),""))</f>
        <v/>
      </c>
    </row>
    <row r="14" spans="1:15" x14ac:dyDescent="0.25">
      <c r="A14" s="15"/>
      <c r="B14" s="15"/>
      <c r="C14" s="16" t="str">
        <f>IFERROR(VLOOKUP($B14,'Base de datos'!$A$3:$K$24,3,FALSE),"")</f>
        <v/>
      </c>
      <c r="D14" s="15" t="str">
        <f t="shared" si="0"/>
        <v/>
      </c>
      <c r="E14" s="17"/>
      <c r="F14" s="18" t="str">
        <f>IF($B14="","",IF(OR(UPPER(IFERROR(VLOOKUP($B14,'Base de datos'!$A$3:$K$24,11,FALSE),""))="NO",ISNUMBER(SEARCH("no sometida",IFERROR(VLOOKUP($B14,'Base de datos'!$A$3:$K$24,10,FALSE),""))),ISNUMBER(SEARCH("no fiscal",IFERROR(VLOOKUP($B14,'Base de datos'!$A$3:$K$24,10,FALSE),"")))),"",IF(OR(OR(ISNUMBER(SEARCH("Hach",$B14)),ISNUMBER(SEARCH("Ketamina",$B14))),AND(IFERROR(VLOOKUP($B14,'Base de datos'!$A$3:$K$24,9,FALSE),"")&lt;&gt;"",IFERROR(VLOOKUP($B14,'Base de datos'!$A$3:$K$24,9,FALSE),"")&lt;&gt;0)),"",IFERROR($M14*VLOOKUP($B14,'Base de datos'!$A$3:$K$24,8,FALSE)/1000,""))))</f>
        <v/>
      </c>
      <c r="G14" s="18" t="str">
        <f>IF($B14="","",IF(OR(UPPER(IFERROR(VLOOKUP($B14,'Base de datos'!$A$3:$K$24,11,FALSE),""))="NO",ISNUMBER(SEARCH("no sometida",IFERROR(VLOOKUP($B14,'Base de datos'!$A$3:$K$24,10,FALSE),""))),ISNUMBER(SEARCH("no fiscal",IFERROR(VLOOKUP($B14,'Base de datos'!$A$3:$K$24,10,FALSE),"")))),"",IFERROR(IF(OR(ISNUMBER(SEARCH("Hach",$B14)),ISNUMBER(SEARCH("Ketamina",$B14))),IF(VLOOKUP($B14,'Base de datos'!$A$3:$K$24,6,FALSE)="","",$E14*VLOOKUP($B14,'Base de datos'!$A$3:$K$24,6,FALSE)),IF(AND(IFERROR(VLOOKUP($B14,'Base de datos'!$A$3:$K$24,9,FALSE),"")&lt;&gt;"",IFERROR(VLOOKUP($B14,'Base de datos'!$A$3:$K$24,9,FALSE),"")&lt;&gt;0),"",IF(VLOOKUP($B14,'Base de datos'!$A$3:$K$24,6,FALSE)="","",$N14*VLOOKUP($B14,'Base de datos'!$A$3:$K$24,6,FALSE)))),"")))</f>
        <v/>
      </c>
      <c r="H14" s="18" t="str">
        <f>IF($B14="","",IF(OR(UPPER(IFERROR(VLOOKUP($B14,'Base de datos'!$A$3:$K$24,11,FALSE),""))="NO",ISNUMBER(SEARCH("no sometida",IFERROR(VLOOKUP($B14,'Base de datos'!$A$3:$K$24,10,FALSE),""))),ISNUMBER(SEARCH("no fiscal",IFERROR(VLOOKUP($B14,'Base de datos'!$A$3:$K$24,10,FALSE),"")))),"",IF(OR(ISNUMBER(SEARCH("Hach",$B14)),ISNUMBER(SEARCH("Ketamina",$B14))),"",IF(AND(IFERROR(VLOOKUP($B14,'Base de datos'!$A$3:$K$24,9,FALSE),"")&lt;&gt;"",IFERROR(VLOOKUP($B14,'Base de datos'!$A$3:$K$24,9,FALSE),"")&lt;&gt;0),$E14*IFERROR(VLOOKUP($B14,'Base de datos'!$A$3:$K$24,9,FALSE),""),IFERROR($O14*VLOOKUP($B14,'Base de datos'!$A$3:$K$24,4,FALSE),"")))))</f>
        <v/>
      </c>
      <c r="I14" s="16" t="str">
        <f>IFERROR(VLOOKUP($B14,'Base de datos'!$A$3:$K$24,7,FALSE),"")</f>
        <v/>
      </c>
      <c r="J14" s="19" t="str">
        <f>IFERROR(VLOOKUP($B14,'Base de datos'!$A$3:$K$24,10,FALSE),"")</f>
        <v/>
      </c>
      <c r="K14" s="17"/>
      <c r="L14" s="15"/>
      <c r="M14" s="17" t="str">
        <f>IF(OR(OR(UPPER(IFERROR(VLOOKUP($B14,'Base de datos'!$A$3:$K$24,11,FALSE),""))="NO",ISNUMBER(SEARCH("no sometida",IFERROR(VLOOKUP($B14,'Base de datos'!$A$3:$K$24,10,FALSE),""))),ISNUMBER(SEARCH("no fiscal",IFERROR(VLOOKUP($B14,'Base de datos'!$A$3:$K$24,10,FALSE),"")))),OR(ISNUMBER(SEARCH("Hach",$B14)),ISNUMBER(SEARCH("Ketamina",$B14))),AND(IFERROR(VLOOKUP($B14,'Base de datos'!$A$3:$K$24,9,FALSE),"")&lt;&gt;"",IFERROR(VLOOKUP($B14,'Base de datos'!$A$3:$K$24,9,FALSE),"")&lt;&gt;0)),"",IFERROR($E14*$C14/$I14,""))</f>
        <v/>
      </c>
      <c r="N14" s="17" t="str">
        <f>IF(OR(OR(UPPER(IFERROR(VLOOKUP($B14,'Base de datos'!$A$3:$K$24,11,FALSE),""))="NO",ISNUMBER(SEARCH("no sometida",IFERROR(VLOOKUP($B14,'Base de datos'!$A$3:$K$24,10,FALSE),""))),ISNUMBER(SEARCH("no fiscal",IFERROR(VLOOKUP($B14,'Base de datos'!$A$3:$K$24,10,FALSE),"")))),OR(ISNUMBER(SEARCH("Hach",$B14)),ISNUMBER(SEARCH("Ketamina",$B14))),AND(IFERROR(VLOOKUP($B14,'Base de datos'!$A$3:$K$24,9,FALSE),"")&lt;&gt;"",IFERROR(VLOOKUP($B14,'Base de datos'!$A$3:$K$24,9,FALSE),"")&lt;&gt;0)),"",IFERROR($E14*$C14/IFERROR(VLOOKUP($B14,'Base de datos'!$A$3:$K$24,5,FALSE),0),""))</f>
        <v/>
      </c>
      <c r="O14" s="17" t="str">
        <f>IF(OR(OR(UPPER(IFERROR(VLOOKUP($B14,'Base de datos'!$A$3:$K$24,11,FALSE),""))="NO",ISNUMBER(SEARCH("no sometida",IFERROR(VLOOKUP($B14,'Base de datos'!$A$3:$K$24,10,FALSE),""))),ISNUMBER(SEARCH("no fiscal",IFERROR(VLOOKUP($B14,'Base de datos'!$A$3:$K$24,10,FALSE),"")))),OR(ISNUMBER(SEARCH("Hach",$B14)),ISNUMBER(SEARCH("Ketamina",$B14))),AND(IFERROR(VLOOKUP($B14,'Base de datos'!$A$3:$K$24,9,FALSE),"")&lt;&gt;"",IFERROR(VLOOKUP($B14,'Base de datos'!$A$3:$K$24,9,FALSE),"")&lt;&gt;0)),"",IFERROR((($E14*$C14/IFERROR(VLOOKUP($B14,'Base de datos'!$A$3:$K$24,3,FALSE),0))*1000)/IFERROR(VLOOKUP($B14,'Base de datos'!$A$3:$K$24,2,FALSE),0),""))</f>
        <v/>
      </c>
    </row>
    <row r="15" spans="1:15" x14ac:dyDescent="0.25">
      <c r="A15" s="15"/>
      <c r="B15" s="15"/>
      <c r="C15" s="16" t="str">
        <f>IFERROR(VLOOKUP($B15,'Base de datos'!$A$3:$K$24,3,FALSE),"")</f>
        <v/>
      </c>
      <c r="D15" s="15" t="str">
        <f t="shared" si="0"/>
        <v/>
      </c>
      <c r="E15" s="17"/>
      <c r="F15" s="18" t="str">
        <f>IF($B15="","",IF(OR(UPPER(IFERROR(VLOOKUP($B15,'Base de datos'!$A$3:$K$24,11,FALSE),""))="NO",ISNUMBER(SEARCH("no sometida",IFERROR(VLOOKUP($B15,'Base de datos'!$A$3:$K$24,10,FALSE),""))),ISNUMBER(SEARCH("no fiscal",IFERROR(VLOOKUP($B15,'Base de datos'!$A$3:$K$24,10,FALSE),"")))),"",IF(OR(OR(ISNUMBER(SEARCH("Hach",$B15)),ISNUMBER(SEARCH("Ketamina",$B15))),AND(IFERROR(VLOOKUP($B15,'Base de datos'!$A$3:$K$24,9,FALSE),"")&lt;&gt;"",IFERROR(VLOOKUP($B15,'Base de datos'!$A$3:$K$24,9,FALSE),"")&lt;&gt;0)),"",IFERROR($M15*VLOOKUP($B15,'Base de datos'!$A$3:$K$24,8,FALSE)/1000,""))))</f>
        <v/>
      </c>
      <c r="G15" s="18" t="str">
        <f>IF($B15="","",IF(OR(UPPER(IFERROR(VLOOKUP($B15,'Base de datos'!$A$3:$K$24,11,FALSE),""))="NO",ISNUMBER(SEARCH("no sometida",IFERROR(VLOOKUP($B15,'Base de datos'!$A$3:$K$24,10,FALSE),""))),ISNUMBER(SEARCH("no fiscal",IFERROR(VLOOKUP($B15,'Base de datos'!$A$3:$K$24,10,FALSE),"")))),"",IFERROR(IF(OR(ISNUMBER(SEARCH("Hach",$B15)),ISNUMBER(SEARCH("Ketamina",$B15))),IF(VLOOKUP($B15,'Base de datos'!$A$3:$K$24,6,FALSE)="","",$E15*VLOOKUP($B15,'Base de datos'!$A$3:$K$24,6,FALSE)),IF(AND(IFERROR(VLOOKUP($B15,'Base de datos'!$A$3:$K$24,9,FALSE),"")&lt;&gt;"",IFERROR(VLOOKUP($B15,'Base de datos'!$A$3:$K$24,9,FALSE),"")&lt;&gt;0),"",IF(VLOOKUP($B15,'Base de datos'!$A$3:$K$24,6,FALSE)="","",$N15*VLOOKUP($B15,'Base de datos'!$A$3:$K$24,6,FALSE)))),"")))</f>
        <v/>
      </c>
      <c r="H15" s="18" t="str">
        <f>IF($B15="","",IF(OR(UPPER(IFERROR(VLOOKUP($B15,'Base de datos'!$A$3:$K$24,11,FALSE),""))="NO",ISNUMBER(SEARCH("no sometida",IFERROR(VLOOKUP($B15,'Base de datos'!$A$3:$K$24,10,FALSE),""))),ISNUMBER(SEARCH("no fiscal",IFERROR(VLOOKUP($B15,'Base de datos'!$A$3:$K$24,10,FALSE),"")))),"",IF(OR(ISNUMBER(SEARCH("Hach",$B15)),ISNUMBER(SEARCH("Ketamina",$B15))),"",IF(AND(IFERROR(VLOOKUP($B15,'Base de datos'!$A$3:$K$24,9,FALSE),"")&lt;&gt;"",IFERROR(VLOOKUP($B15,'Base de datos'!$A$3:$K$24,9,FALSE),"")&lt;&gt;0),$E15*IFERROR(VLOOKUP($B15,'Base de datos'!$A$3:$K$24,9,FALSE),""),IFERROR($O15*VLOOKUP($B15,'Base de datos'!$A$3:$K$24,4,FALSE),"")))))</f>
        <v/>
      </c>
      <c r="I15" s="16" t="str">
        <f>IFERROR(VLOOKUP($B15,'Base de datos'!$A$3:$K$24,7,FALSE),"")</f>
        <v/>
      </c>
      <c r="J15" s="19" t="str">
        <f>IFERROR(VLOOKUP($B15,'Base de datos'!$A$3:$K$24,10,FALSE),"")</f>
        <v/>
      </c>
      <c r="K15" s="17"/>
      <c r="L15" s="15"/>
      <c r="M15" s="17" t="str">
        <f>IF(OR(OR(UPPER(IFERROR(VLOOKUP($B15,'Base de datos'!$A$3:$K$24,11,FALSE),""))="NO",ISNUMBER(SEARCH("no sometida",IFERROR(VLOOKUP($B15,'Base de datos'!$A$3:$K$24,10,FALSE),""))),ISNUMBER(SEARCH("no fiscal",IFERROR(VLOOKUP($B15,'Base de datos'!$A$3:$K$24,10,FALSE),"")))),OR(ISNUMBER(SEARCH("Hach",$B15)),ISNUMBER(SEARCH("Ketamina",$B15))),AND(IFERROR(VLOOKUP($B15,'Base de datos'!$A$3:$K$24,9,FALSE),"")&lt;&gt;"",IFERROR(VLOOKUP($B15,'Base de datos'!$A$3:$K$24,9,FALSE),"")&lt;&gt;0)),"",IFERROR($E15*$C15/$I15,""))</f>
        <v/>
      </c>
      <c r="N15" s="17" t="str">
        <f>IF(OR(OR(UPPER(IFERROR(VLOOKUP($B15,'Base de datos'!$A$3:$K$24,11,FALSE),""))="NO",ISNUMBER(SEARCH("no sometida",IFERROR(VLOOKUP($B15,'Base de datos'!$A$3:$K$24,10,FALSE),""))),ISNUMBER(SEARCH("no fiscal",IFERROR(VLOOKUP($B15,'Base de datos'!$A$3:$K$24,10,FALSE),"")))),OR(ISNUMBER(SEARCH("Hach",$B15)),ISNUMBER(SEARCH("Ketamina",$B15))),AND(IFERROR(VLOOKUP($B15,'Base de datos'!$A$3:$K$24,9,FALSE),"")&lt;&gt;"",IFERROR(VLOOKUP($B15,'Base de datos'!$A$3:$K$24,9,FALSE),"")&lt;&gt;0)),"",IFERROR($E15*$C15/IFERROR(VLOOKUP($B15,'Base de datos'!$A$3:$K$24,5,FALSE),0),""))</f>
        <v/>
      </c>
      <c r="O15" s="17" t="str">
        <f>IF(OR(OR(UPPER(IFERROR(VLOOKUP($B15,'Base de datos'!$A$3:$K$24,11,FALSE),""))="NO",ISNUMBER(SEARCH("no sometida",IFERROR(VLOOKUP($B15,'Base de datos'!$A$3:$K$24,10,FALSE),""))),ISNUMBER(SEARCH("no fiscal",IFERROR(VLOOKUP($B15,'Base de datos'!$A$3:$K$24,10,FALSE),"")))),OR(ISNUMBER(SEARCH("Hach",$B15)),ISNUMBER(SEARCH("Ketamina",$B15))),AND(IFERROR(VLOOKUP($B15,'Base de datos'!$A$3:$K$24,9,FALSE),"")&lt;&gt;"",IFERROR(VLOOKUP($B15,'Base de datos'!$A$3:$K$24,9,FALSE),"")&lt;&gt;0)),"",IFERROR((($E15*$C15/IFERROR(VLOOKUP($B15,'Base de datos'!$A$3:$K$24,3,FALSE),0))*1000)/IFERROR(VLOOKUP($B15,'Base de datos'!$A$3:$K$24,2,FALSE),0),""))</f>
        <v/>
      </c>
    </row>
    <row r="16" spans="1:15" x14ac:dyDescent="0.25">
      <c r="A16" s="15"/>
      <c r="B16" s="15"/>
      <c r="C16" s="16" t="str">
        <f>IFERROR(VLOOKUP($B16,'Base de datos'!$A$3:$K$24,3,FALSE),"")</f>
        <v/>
      </c>
      <c r="D16" s="15" t="str">
        <f t="shared" si="0"/>
        <v/>
      </c>
      <c r="E16" s="17"/>
      <c r="F16" s="18" t="str">
        <f>IF($B16="","",IF(OR(UPPER(IFERROR(VLOOKUP($B16,'Base de datos'!$A$3:$K$24,11,FALSE),""))="NO",ISNUMBER(SEARCH("no sometida",IFERROR(VLOOKUP($B16,'Base de datos'!$A$3:$K$24,10,FALSE),""))),ISNUMBER(SEARCH("no fiscal",IFERROR(VLOOKUP($B16,'Base de datos'!$A$3:$K$24,10,FALSE),"")))),"",IF(OR(OR(ISNUMBER(SEARCH("Hach",$B16)),ISNUMBER(SEARCH("Ketamina",$B16))),AND(IFERROR(VLOOKUP($B16,'Base de datos'!$A$3:$K$24,9,FALSE),"")&lt;&gt;"",IFERROR(VLOOKUP($B16,'Base de datos'!$A$3:$K$24,9,FALSE),"")&lt;&gt;0)),"",IFERROR($M16*VLOOKUP($B16,'Base de datos'!$A$3:$K$24,8,FALSE)/1000,""))))</f>
        <v/>
      </c>
      <c r="G16" s="18" t="str">
        <f>IF($B16="","",IF(OR(UPPER(IFERROR(VLOOKUP($B16,'Base de datos'!$A$3:$K$24,11,FALSE),""))="NO",ISNUMBER(SEARCH("no sometida",IFERROR(VLOOKUP($B16,'Base de datos'!$A$3:$K$24,10,FALSE),""))),ISNUMBER(SEARCH("no fiscal",IFERROR(VLOOKUP($B16,'Base de datos'!$A$3:$K$24,10,FALSE),"")))),"",IFERROR(IF(OR(ISNUMBER(SEARCH("Hach",$B16)),ISNUMBER(SEARCH("Ketamina",$B16))),IF(VLOOKUP($B16,'Base de datos'!$A$3:$K$24,6,FALSE)="","",$E16*VLOOKUP($B16,'Base de datos'!$A$3:$K$24,6,FALSE)),IF(AND(IFERROR(VLOOKUP($B16,'Base de datos'!$A$3:$K$24,9,FALSE),"")&lt;&gt;"",IFERROR(VLOOKUP($B16,'Base de datos'!$A$3:$K$24,9,FALSE),"")&lt;&gt;0),"",IF(VLOOKUP($B16,'Base de datos'!$A$3:$K$24,6,FALSE)="","",$N16*VLOOKUP($B16,'Base de datos'!$A$3:$K$24,6,FALSE)))),"")))</f>
        <v/>
      </c>
      <c r="H16" s="18" t="str">
        <f>IF($B16="","",IF(OR(UPPER(IFERROR(VLOOKUP($B16,'Base de datos'!$A$3:$K$24,11,FALSE),""))="NO",ISNUMBER(SEARCH("no sometida",IFERROR(VLOOKUP($B16,'Base de datos'!$A$3:$K$24,10,FALSE),""))),ISNUMBER(SEARCH("no fiscal",IFERROR(VLOOKUP($B16,'Base de datos'!$A$3:$K$24,10,FALSE),"")))),"",IF(OR(ISNUMBER(SEARCH("Hach",$B16)),ISNUMBER(SEARCH("Ketamina",$B16))),"",IF(AND(IFERROR(VLOOKUP($B16,'Base de datos'!$A$3:$K$24,9,FALSE),"")&lt;&gt;"",IFERROR(VLOOKUP($B16,'Base de datos'!$A$3:$K$24,9,FALSE),"")&lt;&gt;0),$E16*IFERROR(VLOOKUP($B16,'Base de datos'!$A$3:$K$24,9,FALSE),""),IFERROR($O16*VLOOKUP($B16,'Base de datos'!$A$3:$K$24,4,FALSE),"")))))</f>
        <v/>
      </c>
      <c r="I16" s="16" t="str">
        <f>IFERROR(VLOOKUP($B16,'Base de datos'!$A$3:$K$24,7,FALSE),"")</f>
        <v/>
      </c>
      <c r="J16" s="19" t="str">
        <f>IFERROR(VLOOKUP($B16,'Base de datos'!$A$3:$K$24,10,FALSE),"")</f>
        <v/>
      </c>
      <c r="K16" s="17"/>
      <c r="L16" s="15"/>
      <c r="M16" s="17" t="str">
        <f>IF(OR(OR(UPPER(IFERROR(VLOOKUP($B16,'Base de datos'!$A$3:$K$24,11,FALSE),""))="NO",ISNUMBER(SEARCH("no sometida",IFERROR(VLOOKUP($B16,'Base de datos'!$A$3:$K$24,10,FALSE),""))),ISNUMBER(SEARCH("no fiscal",IFERROR(VLOOKUP($B16,'Base de datos'!$A$3:$K$24,10,FALSE),"")))),OR(ISNUMBER(SEARCH("Hach",$B16)),ISNUMBER(SEARCH("Ketamina",$B16))),AND(IFERROR(VLOOKUP($B16,'Base de datos'!$A$3:$K$24,9,FALSE),"")&lt;&gt;"",IFERROR(VLOOKUP($B16,'Base de datos'!$A$3:$K$24,9,FALSE),"")&lt;&gt;0)),"",IFERROR($E16*$C16/$I16,""))</f>
        <v/>
      </c>
      <c r="N16" s="17" t="str">
        <f>IF(OR(OR(UPPER(IFERROR(VLOOKUP($B16,'Base de datos'!$A$3:$K$24,11,FALSE),""))="NO",ISNUMBER(SEARCH("no sometida",IFERROR(VLOOKUP($B16,'Base de datos'!$A$3:$K$24,10,FALSE),""))),ISNUMBER(SEARCH("no fiscal",IFERROR(VLOOKUP($B16,'Base de datos'!$A$3:$K$24,10,FALSE),"")))),OR(ISNUMBER(SEARCH("Hach",$B16)),ISNUMBER(SEARCH("Ketamina",$B16))),AND(IFERROR(VLOOKUP($B16,'Base de datos'!$A$3:$K$24,9,FALSE),"")&lt;&gt;"",IFERROR(VLOOKUP($B16,'Base de datos'!$A$3:$K$24,9,FALSE),"")&lt;&gt;0)),"",IFERROR($E16*$C16/IFERROR(VLOOKUP($B16,'Base de datos'!$A$3:$K$24,5,FALSE),0),""))</f>
        <v/>
      </c>
      <c r="O16" s="17" t="str">
        <f>IF(OR(OR(UPPER(IFERROR(VLOOKUP($B16,'Base de datos'!$A$3:$K$24,11,FALSE),""))="NO",ISNUMBER(SEARCH("no sometida",IFERROR(VLOOKUP($B16,'Base de datos'!$A$3:$K$24,10,FALSE),""))),ISNUMBER(SEARCH("no fiscal",IFERROR(VLOOKUP($B16,'Base de datos'!$A$3:$K$24,10,FALSE),"")))),OR(ISNUMBER(SEARCH("Hach",$B16)),ISNUMBER(SEARCH("Ketamina",$B16))),AND(IFERROR(VLOOKUP($B16,'Base de datos'!$A$3:$K$24,9,FALSE),"")&lt;&gt;"",IFERROR(VLOOKUP($B16,'Base de datos'!$A$3:$K$24,9,FALSE),"")&lt;&gt;0)),"",IFERROR((($E16*$C16/IFERROR(VLOOKUP($B16,'Base de datos'!$A$3:$K$24,3,FALSE),0))*1000)/IFERROR(VLOOKUP($B16,'Base de datos'!$A$3:$K$24,2,FALSE),0),""))</f>
        <v/>
      </c>
    </row>
    <row r="17" spans="1:15" x14ac:dyDescent="0.25">
      <c r="A17" s="15"/>
      <c r="B17" s="15"/>
      <c r="C17" s="16" t="str">
        <f>IFERROR(VLOOKUP($B17,'Base de datos'!$A$3:$K$24,3,FALSE),"")</f>
        <v/>
      </c>
      <c r="D17" s="15" t="str">
        <f t="shared" si="0"/>
        <v/>
      </c>
      <c r="E17" s="17"/>
      <c r="F17" s="18" t="str">
        <f>IF($B17="","",IF(OR(UPPER(IFERROR(VLOOKUP($B17,'Base de datos'!$A$3:$K$24,11,FALSE),""))="NO",ISNUMBER(SEARCH("no sometida",IFERROR(VLOOKUP($B17,'Base de datos'!$A$3:$K$24,10,FALSE),""))),ISNUMBER(SEARCH("no fiscal",IFERROR(VLOOKUP($B17,'Base de datos'!$A$3:$K$24,10,FALSE),"")))),"",IF(OR(OR(ISNUMBER(SEARCH("Hach",$B17)),ISNUMBER(SEARCH("Ketamina",$B17))),AND(IFERROR(VLOOKUP($B17,'Base de datos'!$A$3:$K$24,9,FALSE),"")&lt;&gt;"",IFERROR(VLOOKUP($B17,'Base de datos'!$A$3:$K$24,9,FALSE),"")&lt;&gt;0)),"",IFERROR($M17*VLOOKUP($B17,'Base de datos'!$A$3:$K$24,8,FALSE)/1000,""))))</f>
        <v/>
      </c>
      <c r="G17" s="18" t="str">
        <f>IF($B17="","",IF(OR(UPPER(IFERROR(VLOOKUP($B17,'Base de datos'!$A$3:$K$24,11,FALSE),""))="NO",ISNUMBER(SEARCH("no sometida",IFERROR(VLOOKUP($B17,'Base de datos'!$A$3:$K$24,10,FALSE),""))),ISNUMBER(SEARCH("no fiscal",IFERROR(VLOOKUP($B17,'Base de datos'!$A$3:$K$24,10,FALSE),"")))),"",IFERROR(IF(OR(ISNUMBER(SEARCH("Hach",$B17)),ISNUMBER(SEARCH("Ketamina",$B17))),IF(VLOOKUP($B17,'Base de datos'!$A$3:$K$24,6,FALSE)="","",$E17*VLOOKUP($B17,'Base de datos'!$A$3:$K$24,6,FALSE)),IF(AND(IFERROR(VLOOKUP($B17,'Base de datos'!$A$3:$K$24,9,FALSE),"")&lt;&gt;"",IFERROR(VLOOKUP($B17,'Base de datos'!$A$3:$K$24,9,FALSE),"")&lt;&gt;0),"",IF(VLOOKUP($B17,'Base de datos'!$A$3:$K$24,6,FALSE)="","",$N17*VLOOKUP($B17,'Base de datos'!$A$3:$K$24,6,FALSE)))),"")))</f>
        <v/>
      </c>
      <c r="H17" s="18" t="str">
        <f>IF($B17="","",IF(OR(UPPER(IFERROR(VLOOKUP($B17,'Base de datos'!$A$3:$K$24,11,FALSE),""))="NO",ISNUMBER(SEARCH("no sometida",IFERROR(VLOOKUP($B17,'Base de datos'!$A$3:$K$24,10,FALSE),""))),ISNUMBER(SEARCH("no fiscal",IFERROR(VLOOKUP($B17,'Base de datos'!$A$3:$K$24,10,FALSE),"")))),"",IF(OR(ISNUMBER(SEARCH("Hach",$B17)),ISNUMBER(SEARCH("Ketamina",$B17))),"",IF(AND(IFERROR(VLOOKUP($B17,'Base de datos'!$A$3:$K$24,9,FALSE),"")&lt;&gt;"",IFERROR(VLOOKUP($B17,'Base de datos'!$A$3:$K$24,9,FALSE),"")&lt;&gt;0),$E17*IFERROR(VLOOKUP($B17,'Base de datos'!$A$3:$K$24,9,FALSE),""),IFERROR($O17*VLOOKUP($B17,'Base de datos'!$A$3:$K$24,4,FALSE),"")))))</f>
        <v/>
      </c>
      <c r="I17" s="16" t="str">
        <f>IFERROR(VLOOKUP($B17,'Base de datos'!$A$3:$K$24,7,FALSE),"")</f>
        <v/>
      </c>
      <c r="J17" s="19" t="str">
        <f>IFERROR(VLOOKUP($B17,'Base de datos'!$A$3:$K$24,10,FALSE),"")</f>
        <v/>
      </c>
      <c r="K17" s="17"/>
      <c r="L17" s="15"/>
      <c r="M17" s="17" t="str">
        <f>IF(OR(OR(UPPER(IFERROR(VLOOKUP($B17,'Base de datos'!$A$3:$K$24,11,FALSE),""))="NO",ISNUMBER(SEARCH("no sometida",IFERROR(VLOOKUP($B17,'Base de datos'!$A$3:$K$24,10,FALSE),""))),ISNUMBER(SEARCH("no fiscal",IFERROR(VLOOKUP($B17,'Base de datos'!$A$3:$K$24,10,FALSE),"")))),OR(ISNUMBER(SEARCH("Hach",$B17)),ISNUMBER(SEARCH("Ketamina",$B17))),AND(IFERROR(VLOOKUP($B17,'Base de datos'!$A$3:$K$24,9,FALSE),"")&lt;&gt;"",IFERROR(VLOOKUP($B17,'Base de datos'!$A$3:$K$24,9,FALSE),"")&lt;&gt;0)),"",IFERROR($E17*$C17/$I17,""))</f>
        <v/>
      </c>
      <c r="N17" s="17" t="str">
        <f>IF(OR(OR(UPPER(IFERROR(VLOOKUP($B17,'Base de datos'!$A$3:$K$24,11,FALSE),""))="NO",ISNUMBER(SEARCH("no sometida",IFERROR(VLOOKUP($B17,'Base de datos'!$A$3:$K$24,10,FALSE),""))),ISNUMBER(SEARCH("no fiscal",IFERROR(VLOOKUP($B17,'Base de datos'!$A$3:$K$24,10,FALSE),"")))),OR(ISNUMBER(SEARCH("Hach",$B17)),ISNUMBER(SEARCH("Ketamina",$B17))),AND(IFERROR(VLOOKUP($B17,'Base de datos'!$A$3:$K$24,9,FALSE),"")&lt;&gt;"",IFERROR(VLOOKUP($B17,'Base de datos'!$A$3:$K$24,9,FALSE),"")&lt;&gt;0)),"",IFERROR($E17*$C17/IFERROR(VLOOKUP($B17,'Base de datos'!$A$3:$K$24,5,FALSE),0),""))</f>
        <v/>
      </c>
      <c r="O17" s="17" t="str">
        <f>IF(OR(OR(UPPER(IFERROR(VLOOKUP($B17,'Base de datos'!$A$3:$K$24,11,FALSE),""))="NO",ISNUMBER(SEARCH("no sometida",IFERROR(VLOOKUP($B17,'Base de datos'!$A$3:$K$24,10,FALSE),""))),ISNUMBER(SEARCH("no fiscal",IFERROR(VLOOKUP($B17,'Base de datos'!$A$3:$K$24,10,FALSE),"")))),OR(ISNUMBER(SEARCH("Hach",$B17)),ISNUMBER(SEARCH("Ketamina",$B17))),AND(IFERROR(VLOOKUP($B17,'Base de datos'!$A$3:$K$24,9,FALSE),"")&lt;&gt;"",IFERROR(VLOOKUP($B17,'Base de datos'!$A$3:$K$24,9,FALSE),"")&lt;&gt;0)),"",IFERROR((($E17*$C17/IFERROR(VLOOKUP($B17,'Base de datos'!$A$3:$K$24,3,FALSE),0))*1000)/IFERROR(VLOOKUP($B17,'Base de datos'!$A$3:$K$24,2,FALSE),0),""))</f>
        <v/>
      </c>
    </row>
    <row r="18" spans="1:15" x14ac:dyDescent="0.25">
      <c r="A18" s="15"/>
      <c r="B18" s="15"/>
      <c r="C18" s="16" t="str">
        <f>IFERROR(VLOOKUP($B18,'Base de datos'!$A$3:$K$24,3,FALSE),"")</f>
        <v/>
      </c>
      <c r="D18" s="15" t="str">
        <f t="shared" si="0"/>
        <v/>
      </c>
      <c r="E18" s="17"/>
      <c r="F18" s="18" t="str">
        <f>IF($B18="","",IF(OR(UPPER(IFERROR(VLOOKUP($B18,'Base de datos'!$A$3:$K$24,11,FALSE),""))="NO",ISNUMBER(SEARCH("no sometida",IFERROR(VLOOKUP($B18,'Base de datos'!$A$3:$K$24,10,FALSE),""))),ISNUMBER(SEARCH("no fiscal",IFERROR(VLOOKUP($B18,'Base de datos'!$A$3:$K$24,10,FALSE),"")))),"",IF(OR(OR(ISNUMBER(SEARCH("Hach",$B18)),ISNUMBER(SEARCH("Ketamina",$B18))),AND(IFERROR(VLOOKUP($B18,'Base de datos'!$A$3:$K$24,9,FALSE),"")&lt;&gt;"",IFERROR(VLOOKUP($B18,'Base de datos'!$A$3:$K$24,9,FALSE),"")&lt;&gt;0)),"",IFERROR($M18*VLOOKUP($B18,'Base de datos'!$A$3:$K$24,8,FALSE)/1000,""))))</f>
        <v/>
      </c>
      <c r="G18" s="18" t="str">
        <f>IF($B18="","",IF(OR(UPPER(IFERROR(VLOOKUP($B18,'Base de datos'!$A$3:$K$24,11,FALSE),""))="NO",ISNUMBER(SEARCH("no sometida",IFERROR(VLOOKUP($B18,'Base de datos'!$A$3:$K$24,10,FALSE),""))),ISNUMBER(SEARCH("no fiscal",IFERROR(VLOOKUP($B18,'Base de datos'!$A$3:$K$24,10,FALSE),"")))),"",IFERROR(IF(OR(ISNUMBER(SEARCH("Hach",$B18)),ISNUMBER(SEARCH("Ketamina",$B18))),IF(VLOOKUP($B18,'Base de datos'!$A$3:$K$24,6,FALSE)="","",$E18*VLOOKUP($B18,'Base de datos'!$A$3:$K$24,6,FALSE)),IF(AND(IFERROR(VLOOKUP($B18,'Base de datos'!$A$3:$K$24,9,FALSE),"")&lt;&gt;"",IFERROR(VLOOKUP($B18,'Base de datos'!$A$3:$K$24,9,FALSE),"")&lt;&gt;0),"",IF(VLOOKUP($B18,'Base de datos'!$A$3:$K$24,6,FALSE)="","",$N18*VLOOKUP($B18,'Base de datos'!$A$3:$K$24,6,FALSE)))),"")))</f>
        <v/>
      </c>
      <c r="H18" s="18" t="str">
        <f>IF($B18="","",IF(OR(UPPER(IFERROR(VLOOKUP($B18,'Base de datos'!$A$3:$K$24,11,FALSE),""))="NO",ISNUMBER(SEARCH("no sometida",IFERROR(VLOOKUP($B18,'Base de datos'!$A$3:$K$24,10,FALSE),""))),ISNUMBER(SEARCH("no fiscal",IFERROR(VLOOKUP($B18,'Base de datos'!$A$3:$K$24,10,FALSE),"")))),"",IF(OR(ISNUMBER(SEARCH("Hach",$B18)),ISNUMBER(SEARCH("Ketamina",$B18))),"",IF(AND(IFERROR(VLOOKUP($B18,'Base de datos'!$A$3:$K$24,9,FALSE),"")&lt;&gt;"",IFERROR(VLOOKUP($B18,'Base de datos'!$A$3:$K$24,9,FALSE),"")&lt;&gt;0),$E18*IFERROR(VLOOKUP($B18,'Base de datos'!$A$3:$K$24,9,FALSE),""),IFERROR($O18*VLOOKUP($B18,'Base de datos'!$A$3:$K$24,4,FALSE),"")))))</f>
        <v/>
      </c>
      <c r="I18" s="16" t="str">
        <f>IFERROR(VLOOKUP($B18,'Base de datos'!$A$3:$K$24,7,FALSE),"")</f>
        <v/>
      </c>
      <c r="J18" s="19" t="str">
        <f>IFERROR(VLOOKUP($B18,'Base de datos'!$A$3:$K$24,10,FALSE),"")</f>
        <v/>
      </c>
      <c r="K18" s="17"/>
      <c r="L18" s="15"/>
      <c r="M18" s="17" t="str">
        <f>IF(OR(OR(UPPER(IFERROR(VLOOKUP($B18,'Base de datos'!$A$3:$K$24,11,FALSE),""))="NO",ISNUMBER(SEARCH("no sometida",IFERROR(VLOOKUP($B18,'Base de datos'!$A$3:$K$24,10,FALSE),""))),ISNUMBER(SEARCH("no fiscal",IFERROR(VLOOKUP($B18,'Base de datos'!$A$3:$K$24,10,FALSE),"")))),OR(ISNUMBER(SEARCH("Hach",$B18)),ISNUMBER(SEARCH("Ketamina",$B18))),AND(IFERROR(VLOOKUP($B18,'Base de datos'!$A$3:$K$24,9,FALSE),"")&lt;&gt;"",IFERROR(VLOOKUP($B18,'Base de datos'!$A$3:$K$24,9,FALSE),"")&lt;&gt;0)),"",IFERROR($E18*$C18/$I18,""))</f>
        <v/>
      </c>
      <c r="N18" s="17" t="str">
        <f>IF(OR(OR(UPPER(IFERROR(VLOOKUP($B18,'Base de datos'!$A$3:$K$24,11,FALSE),""))="NO",ISNUMBER(SEARCH("no sometida",IFERROR(VLOOKUP($B18,'Base de datos'!$A$3:$K$24,10,FALSE),""))),ISNUMBER(SEARCH("no fiscal",IFERROR(VLOOKUP($B18,'Base de datos'!$A$3:$K$24,10,FALSE),"")))),OR(ISNUMBER(SEARCH("Hach",$B18)),ISNUMBER(SEARCH("Ketamina",$B18))),AND(IFERROR(VLOOKUP($B18,'Base de datos'!$A$3:$K$24,9,FALSE),"")&lt;&gt;"",IFERROR(VLOOKUP($B18,'Base de datos'!$A$3:$K$24,9,FALSE),"")&lt;&gt;0)),"",IFERROR($E18*$C18/IFERROR(VLOOKUP($B18,'Base de datos'!$A$3:$K$24,5,FALSE),0),""))</f>
        <v/>
      </c>
      <c r="O18" s="17" t="str">
        <f>IF(OR(OR(UPPER(IFERROR(VLOOKUP($B18,'Base de datos'!$A$3:$K$24,11,FALSE),""))="NO",ISNUMBER(SEARCH("no sometida",IFERROR(VLOOKUP($B18,'Base de datos'!$A$3:$K$24,10,FALSE),""))),ISNUMBER(SEARCH("no fiscal",IFERROR(VLOOKUP($B18,'Base de datos'!$A$3:$K$24,10,FALSE),"")))),OR(ISNUMBER(SEARCH("Hach",$B18)),ISNUMBER(SEARCH("Ketamina",$B18))),AND(IFERROR(VLOOKUP($B18,'Base de datos'!$A$3:$K$24,9,FALSE),"")&lt;&gt;"",IFERROR(VLOOKUP($B18,'Base de datos'!$A$3:$K$24,9,FALSE),"")&lt;&gt;0)),"",IFERROR((($E18*$C18/IFERROR(VLOOKUP($B18,'Base de datos'!$A$3:$K$24,3,FALSE),0))*1000)/IFERROR(VLOOKUP($B18,'Base de datos'!$A$3:$K$24,2,FALSE),0),""))</f>
        <v/>
      </c>
    </row>
    <row r="19" spans="1:15" x14ac:dyDescent="0.25">
      <c r="A19" s="15"/>
      <c r="B19" s="15"/>
      <c r="C19" s="16" t="str">
        <f>IFERROR(VLOOKUP($B19,'Base de datos'!$A$3:$K$24,3,FALSE),"")</f>
        <v/>
      </c>
      <c r="D19" s="15" t="str">
        <f t="shared" si="0"/>
        <v/>
      </c>
      <c r="E19" s="17"/>
      <c r="F19" s="18" t="str">
        <f>IF($B19="","",IF(OR(UPPER(IFERROR(VLOOKUP($B19,'Base de datos'!$A$3:$K$24,11,FALSE),""))="NO",ISNUMBER(SEARCH("no sometida",IFERROR(VLOOKUP($B19,'Base de datos'!$A$3:$K$24,10,FALSE),""))),ISNUMBER(SEARCH("no fiscal",IFERROR(VLOOKUP($B19,'Base de datos'!$A$3:$K$24,10,FALSE),"")))),"",IF(OR(OR(ISNUMBER(SEARCH("Hach",$B19)),ISNUMBER(SEARCH("Ketamina",$B19))),AND(IFERROR(VLOOKUP($B19,'Base de datos'!$A$3:$K$24,9,FALSE),"")&lt;&gt;"",IFERROR(VLOOKUP($B19,'Base de datos'!$A$3:$K$24,9,FALSE),"")&lt;&gt;0)),"",IFERROR($M19*VLOOKUP($B19,'Base de datos'!$A$3:$K$24,8,FALSE)/1000,""))))</f>
        <v/>
      </c>
      <c r="G19" s="18" t="str">
        <f>IF($B19="","",IF(OR(UPPER(IFERROR(VLOOKUP($B19,'Base de datos'!$A$3:$K$24,11,FALSE),""))="NO",ISNUMBER(SEARCH("no sometida",IFERROR(VLOOKUP($B19,'Base de datos'!$A$3:$K$24,10,FALSE),""))),ISNUMBER(SEARCH("no fiscal",IFERROR(VLOOKUP($B19,'Base de datos'!$A$3:$K$24,10,FALSE),"")))),"",IFERROR(IF(OR(ISNUMBER(SEARCH("Hach",$B19)),ISNUMBER(SEARCH("Ketamina",$B19))),IF(VLOOKUP($B19,'Base de datos'!$A$3:$K$24,6,FALSE)="","",$E19*VLOOKUP($B19,'Base de datos'!$A$3:$K$24,6,FALSE)),IF(AND(IFERROR(VLOOKUP($B19,'Base de datos'!$A$3:$K$24,9,FALSE),"")&lt;&gt;"",IFERROR(VLOOKUP($B19,'Base de datos'!$A$3:$K$24,9,FALSE),"")&lt;&gt;0),"",IF(VLOOKUP($B19,'Base de datos'!$A$3:$K$24,6,FALSE)="","",$N19*VLOOKUP($B19,'Base de datos'!$A$3:$K$24,6,FALSE)))),"")))</f>
        <v/>
      </c>
      <c r="H19" s="18" t="str">
        <f>IF($B19="","",IF(OR(UPPER(IFERROR(VLOOKUP($B19,'Base de datos'!$A$3:$K$24,11,FALSE),""))="NO",ISNUMBER(SEARCH("no sometida",IFERROR(VLOOKUP($B19,'Base de datos'!$A$3:$K$24,10,FALSE),""))),ISNUMBER(SEARCH("no fiscal",IFERROR(VLOOKUP($B19,'Base de datos'!$A$3:$K$24,10,FALSE),"")))),"",IF(OR(ISNUMBER(SEARCH("Hach",$B19)),ISNUMBER(SEARCH("Ketamina",$B19))),"",IF(AND(IFERROR(VLOOKUP($B19,'Base de datos'!$A$3:$K$24,9,FALSE),"")&lt;&gt;"",IFERROR(VLOOKUP($B19,'Base de datos'!$A$3:$K$24,9,FALSE),"")&lt;&gt;0),$E19*IFERROR(VLOOKUP($B19,'Base de datos'!$A$3:$K$24,9,FALSE),""),IFERROR($O19*VLOOKUP($B19,'Base de datos'!$A$3:$K$24,4,FALSE),"")))))</f>
        <v/>
      </c>
      <c r="I19" s="16" t="str">
        <f>IFERROR(VLOOKUP($B19,'Base de datos'!$A$3:$K$24,7,FALSE),"")</f>
        <v/>
      </c>
      <c r="J19" s="19" t="str">
        <f>IFERROR(VLOOKUP($B19,'Base de datos'!$A$3:$K$24,10,FALSE),"")</f>
        <v/>
      </c>
      <c r="K19" s="17"/>
      <c r="L19" s="15"/>
      <c r="M19" s="17" t="str">
        <f>IF(OR(OR(UPPER(IFERROR(VLOOKUP($B19,'Base de datos'!$A$3:$K$24,11,FALSE),""))="NO",ISNUMBER(SEARCH("no sometida",IFERROR(VLOOKUP($B19,'Base de datos'!$A$3:$K$24,10,FALSE),""))),ISNUMBER(SEARCH("no fiscal",IFERROR(VLOOKUP($B19,'Base de datos'!$A$3:$K$24,10,FALSE),"")))),OR(ISNUMBER(SEARCH("Hach",$B19)),ISNUMBER(SEARCH("Ketamina",$B19))),AND(IFERROR(VLOOKUP($B19,'Base de datos'!$A$3:$K$24,9,FALSE),"")&lt;&gt;"",IFERROR(VLOOKUP($B19,'Base de datos'!$A$3:$K$24,9,FALSE),"")&lt;&gt;0)),"",IFERROR($E19*$C19/$I19,""))</f>
        <v/>
      </c>
      <c r="N19" s="17" t="str">
        <f>IF(OR(OR(UPPER(IFERROR(VLOOKUP($B19,'Base de datos'!$A$3:$K$24,11,FALSE),""))="NO",ISNUMBER(SEARCH("no sometida",IFERROR(VLOOKUP($B19,'Base de datos'!$A$3:$K$24,10,FALSE),""))),ISNUMBER(SEARCH("no fiscal",IFERROR(VLOOKUP($B19,'Base de datos'!$A$3:$K$24,10,FALSE),"")))),OR(ISNUMBER(SEARCH("Hach",$B19)),ISNUMBER(SEARCH("Ketamina",$B19))),AND(IFERROR(VLOOKUP($B19,'Base de datos'!$A$3:$K$24,9,FALSE),"")&lt;&gt;"",IFERROR(VLOOKUP($B19,'Base de datos'!$A$3:$K$24,9,FALSE),"")&lt;&gt;0)),"",IFERROR($E19*$C19/IFERROR(VLOOKUP($B19,'Base de datos'!$A$3:$K$24,5,FALSE),0),""))</f>
        <v/>
      </c>
      <c r="O19" s="17" t="str">
        <f>IF(OR(OR(UPPER(IFERROR(VLOOKUP($B19,'Base de datos'!$A$3:$K$24,11,FALSE),""))="NO",ISNUMBER(SEARCH("no sometida",IFERROR(VLOOKUP($B19,'Base de datos'!$A$3:$K$24,10,FALSE),""))),ISNUMBER(SEARCH("no fiscal",IFERROR(VLOOKUP($B19,'Base de datos'!$A$3:$K$24,10,FALSE),"")))),OR(ISNUMBER(SEARCH("Hach",$B19)),ISNUMBER(SEARCH("Ketamina",$B19))),AND(IFERROR(VLOOKUP($B19,'Base de datos'!$A$3:$K$24,9,FALSE),"")&lt;&gt;"",IFERROR(VLOOKUP($B19,'Base de datos'!$A$3:$K$24,9,FALSE),"")&lt;&gt;0)),"",IFERROR((($E19*$C19/IFERROR(VLOOKUP($B19,'Base de datos'!$A$3:$K$24,3,FALSE),0))*1000)/IFERROR(VLOOKUP($B19,'Base de datos'!$A$3:$K$24,2,FALSE),0),""))</f>
        <v/>
      </c>
    </row>
    <row r="20" spans="1:15" x14ac:dyDescent="0.25">
      <c r="A20" s="15"/>
      <c r="B20" s="15"/>
      <c r="C20" s="16" t="str">
        <f>IFERROR(VLOOKUP($B20,'Base de datos'!$A$3:$K$24,3,FALSE),"")</f>
        <v/>
      </c>
      <c r="D20" s="15" t="str">
        <f t="shared" si="0"/>
        <v/>
      </c>
      <c r="E20" s="17"/>
      <c r="F20" s="18" t="str">
        <f>IF($B20="","",IF(OR(UPPER(IFERROR(VLOOKUP($B20,'Base de datos'!$A$3:$K$24,11,FALSE),""))="NO",ISNUMBER(SEARCH("no sometida",IFERROR(VLOOKUP($B20,'Base de datos'!$A$3:$K$24,10,FALSE),""))),ISNUMBER(SEARCH("no fiscal",IFERROR(VLOOKUP($B20,'Base de datos'!$A$3:$K$24,10,FALSE),"")))),"",IF(OR(OR(ISNUMBER(SEARCH("Hach",$B20)),ISNUMBER(SEARCH("Ketamina",$B20))),AND(IFERROR(VLOOKUP($B20,'Base de datos'!$A$3:$K$24,9,FALSE),"")&lt;&gt;"",IFERROR(VLOOKUP($B20,'Base de datos'!$A$3:$K$24,9,FALSE),"")&lt;&gt;0)),"",IFERROR($M20*VLOOKUP($B20,'Base de datos'!$A$3:$K$24,8,FALSE)/1000,""))))</f>
        <v/>
      </c>
      <c r="G20" s="18" t="str">
        <f>IF($B20="","",IF(OR(UPPER(IFERROR(VLOOKUP($B20,'Base de datos'!$A$3:$K$24,11,FALSE),""))="NO",ISNUMBER(SEARCH("no sometida",IFERROR(VLOOKUP($B20,'Base de datos'!$A$3:$K$24,10,FALSE),""))),ISNUMBER(SEARCH("no fiscal",IFERROR(VLOOKUP($B20,'Base de datos'!$A$3:$K$24,10,FALSE),"")))),"",IFERROR(IF(OR(ISNUMBER(SEARCH("Hach",$B20)),ISNUMBER(SEARCH("Ketamina",$B20))),IF(VLOOKUP($B20,'Base de datos'!$A$3:$K$24,6,FALSE)="","",$E20*VLOOKUP($B20,'Base de datos'!$A$3:$K$24,6,FALSE)),IF(AND(IFERROR(VLOOKUP($B20,'Base de datos'!$A$3:$K$24,9,FALSE),"")&lt;&gt;"",IFERROR(VLOOKUP($B20,'Base de datos'!$A$3:$K$24,9,FALSE),"")&lt;&gt;0),"",IF(VLOOKUP($B20,'Base de datos'!$A$3:$K$24,6,FALSE)="","",$N20*VLOOKUP($B20,'Base de datos'!$A$3:$K$24,6,FALSE)))),"")))</f>
        <v/>
      </c>
      <c r="H20" s="18" t="str">
        <f>IF($B20="","",IF(OR(UPPER(IFERROR(VLOOKUP($B20,'Base de datos'!$A$3:$K$24,11,FALSE),""))="NO",ISNUMBER(SEARCH("no sometida",IFERROR(VLOOKUP($B20,'Base de datos'!$A$3:$K$24,10,FALSE),""))),ISNUMBER(SEARCH("no fiscal",IFERROR(VLOOKUP($B20,'Base de datos'!$A$3:$K$24,10,FALSE),"")))),"",IF(OR(ISNUMBER(SEARCH("Hach",$B20)),ISNUMBER(SEARCH("Ketamina",$B20))),"",IF(AND(IFERROR(VLOOKUP($B20,'Base de datos'!$A$3:$K$24,9,FALSE),"")&lt;&gt;"",IFERROR(VLOOKUP($B20,'Base de datos'!$A$3:$K$24,9,FALSE),"")&lt;&gt;0),$E20*IFERROR(VLOOKUP($B20,'Base de datos'!$A$3:$K$24,9,FALSE),""),IFERROR($O20*VLOOKUP($B20,'Base de datos'!$A$3:$K$24,4,FALSE),"")))))</f>
        <v/>
      </c>
      <c r="I20" s="16" t="str">
        <f>IFERROR(VLOOKUP($B20,'Base de datos'!$A$3:$K$24,7,FALSE),"")</f>
        <v/>
      </c>
      <c r="J20" s="19" t="str">
        <f>IFERROR(VLOOKUP($B20,'Base de datos'!$A$3:$K$24,10,FALSE),"")</f>
        <v/>
      </c>
      <c r="K20" s="17"/>
      <c r="L20" s="15"/>
      <c r="M20" s="17" t="str">
        <f>IF(OR(OR(UPPER(IFERROR(VLOOKUP($B20,'Base de datos'!$A$3:$K$24,11,FALSE),""))="NO",ISNUMBER(SEARCH("no sometida",IFERROR(VLOOKUP($B20,'Base de datos'!$A$3:$K$24,10,FALSE),""))),ISNUMBER(SEARCH("no fiscal",IFERROR(VLOOKUP($B20,'Base de datos'!$A$3:$K$24,10,FALSE),"")))),OR(ISNUMBER(SEARCH("Hach",$B20)),ISNUMBER(SEARCH("Ketamina",$B20))),AND(IFERROR(VLOOKUP($B20,'Base de datos'!$A$3:$K$24,9,FALSE),"")&lt;&gt;"",IFERROR(VLOOKUP($B20,'Base de datos'!$A$3:$K$24,9,FALSE),"")&lt;&gt;0)),"",IFERROR($E20*$C20/$I20,""))</f>
        <v/>
      </c>
      <c r="N20" s="17" t="str">
        <f>IF(OR(OR(UPPER(IFERROR(VLOOKUP($B20,'Base de datos'!$A$3:$K$24,11,FALSE),""))="NO",ISNUMBER(SEARCH("no sometida",IFERROR(VLOOKUP($B20,'Base de datos'!$A$3:$K$24,10,FALSE),""))),ISNUMBER(SEARCH("no fiscal",IFERROR(VLOOKUP($B20,'Base de datos'!$A$3:$K$24,10,FALSE),"")))),OR(ISNUMBER(SEARCH("Hach",$B20)),ISNUMBER(SEARCH("Ketamina",$B20))),AND(IFERROR(VLOOKUP($B20,'Base de datos'!$A$3:$K$24,9,FALSE),"")&lt;&gt;"",IFERROR(VLOOKUP($B20,'Base de datos'!$A$3:$K$24,9,FALSE),"")&lt;&gt;0)),"",IFERROR($E20*$C20/IFERROR(VLOOKUP($B20,'Base de datos'!$A$3:$K$24,5,FALSE),0),""))</f>
        <v/>
      </c>
      <c r="O20" s="17" t="str">
        <f>IF(OR(OR(UPPER(IFERROR(VLOOKUP($B20,'Base de datos'!$A$3:$K$24,11,FALSE),""))="NO",ISNUMBER(SEARCH("no sometida",IFERROR(VLOOKUP($B20,'Base de datos'!$A$3:$K$24,10,FALSE),""))),ISNUMBER(SEARCH("no fiscal",IFERROR(VLOOKUP($B20,'Base de datos'!$A$3:$K$24,10,FALSE),"")))),OR(ISNUMBER(SEARCH("Hach",$B20)),ISNUMBER(SEARCH("Ketamina",$B20))),AND(IFERROR(VLOOKUP($B20,'Base de datos'!$A$3:$K$24,9,FALSE),"")&lt;&gt;"",IFERROR(VLOOKUP($B20,'Base de datos'!$A$3:$K$24,9,FALSE),"")&lt;&gt;0)),"",IFERROR((($E20*$C20/IFERROR(VLOOKUP($B20,'Base de datos'!$A$3:$K$24,3,FALSE),0))*1000)/IFERROR(VLOOKUP($B20,'Base de datos'!$A$3:$K$24,2,FALSE),0),""))</f>
        <v/>
      </c>
    </row>
    <row r="21" spans="1:15" x14ac:dyDescent="0.25">
      <c r="A21" s="15"/>
      <c r="B21" s="15"/>
      <c r="C21" s="16" t="str">
        <f>IFERROR(VLOOKUP($B21,'Base de datos'!$A$3:$K$24,3,FALSE),"")</f>
        <v/>
      </c>
      <c r="D21" s="15" t="str">
        <f t="shared" si="0"/>
        <v/>
      </c>
      <c r="E21" s="17"/>
      <c r="F21" s="18" t="str">
        <f>IF($B21="","",IF(OR(UPPER(IFERROR(VLOOKUP($B21,'Base de datos'!$A$3:$K$24,11,FALSE),""))="NO",ISNUMBER(SEARCH("no sometida",IFERROR(VLOOKUP($B21,'Base de datos'!$A$3:$K$24,10,FALSE),""))),ISNUMBER(SEARCH("no fiscal",IFERROR(VLOOKUP($B21,'Base de datos'!$A$3:$K$24,10,FALSE),"")))),"",IF(OR(OR(ISNUMBER(SEARCH("Hach",$B21)),ISNUMBER(SEARCH("Ketamina",$B21))),AND(IFERROR(VLOOKUP($B21,'Base de datos'!$A$3:$K$24,9,FALSE),"")&lt;&gt;"",IFERROR(VLOOKUP($B21,'Base de datos'!$A$3:$K$24,9,FALSE),"")&lt;&gt;0)),"",IFERROR($M21*VLOOKUP($B21,'Base de datos'!$A$3:$K$24,8,FALSE)/1000,""))))</f>
        <v/>
      </c>
      <c r="G21" s="18" t="str">
        <f>IF($B21="","",IF(OR(UPPER(IFERROR(VLOOKUP($B21,'Base de datos'!$A$3:$K$24,11,FALSE),""))="NO",ISNUMBER(SEARCH("no sometida",IFERROR(VLOOKUP($B21,'Base de datos'!$A$3:$K$24,10,FALSE),""))),ISNUMBER(SEARCH("no fiscal",IFERROR(VLOOKUP($B21,'Base de datos'!$A$3:$K$24,10,FALSE),"")))),"",IFERROR(IF(OR(ISNUMBER(SEARCH("Hach",$B21)),ISNUMBER(SEARCH("Ketamina",$B21))),IF(VLOOKUP($B21,'Base de datos'!$A$3:$K$24,6,FALSE)="","",$E21*VLOOKUP($B21,'Base de datos'!$A$3:$K$24,6,FALSE)),IF(AND(IFERROR(VLOOKUP($B21,'Base de datos'!$A$3:$K$24,9,FALSE),"")&lt;&gt;"",IFERROR(VLOOKUP($B21,'Base de datos'!$A$3:$K$24,9,FALSE),"")&lt;&gt;0),"",IF(VLOOKUP($B21,'Base de datos'!$A$3:$K$24,6,FALSE)="","",$N21*VLOOKUP($B21,'Base de datos'!$A$3:$K$24,6,FALSE)))),"")))</f>
        <v/>
      </c>
      <c r="H21" s="18" t="str">
        <f>IF($B21="","",IF(OR(UPPER(IFERROR(VLOOKUP($B21,'Base de datos'!$A$3:$K$24,11,FALSE),""))="NO",ISNUMBER(SEARCH("no sometida",IFERROR(VLOOKUP($B21,'Base de datos'!$A$3:$K$24,10,FALSE),""))),ISNUMBER(SEARCH("no fiscal",IFERROR(VLOOKUP($B21,'Base de datos'!$A$3:$K$24,10,FALSE),"")))),"",IF(OR(ISNUMBER(SEARCH("Hach",$B21)),ISNUMBER(SEARCH("Ketamina",$B21))),"",IF(AND(IFERROR(VLOOKUP($B21,'Base de datos'!$A$3:$K$24,9,FALSE),"")&lt;&gt;"",IFERROR(VLOOKUP($B21,'Base de datos'!$A$3:$K$24,9,FALSE),"")&lt;&gt;0),$E21*IFERROR(VLOOKUP($B21,'Base de datos'!$A$3:$K$24,9,FALSE),""),IFERROR($O21*VLOOKUP($B21,'Base de datos'!$A$3:$K$24,4,FALSE),"")))))</f>
        <v/>
      </c>
      <c r="I21" s="16" t="str">
        <f>IFERROR(VLOOKUP($B21,'Base de datos'!$A$3:$K$24,7,FALSE),"")</f>
        <v/>
      </c>
      <c r="J21" s="19" t="str">
        <f>IFERROR(VLOOKUP($B21,'Base de datos'!$A$3:$K$24,10,FALSE),"")</f>
        <v/>
      </c>
      <c r="K21" s="17"/>
      <c r="L21" s="15"/>
      <c r="M21" s="17" t="str">
        <f>IF(OR(OR(UPPER(IFERROR(VLOOKUP($B21,'Base de datos'!$A$3:$K$24,11,FALSE),""))="NO",ISNUMBER(SEARCH("no sometida",IFERROR(VLOOKUP($B21,'Base de datos'!$A$3:$K$24,10,FALSE),""))),ISNUMBER(SEARCH("no fiscal",IFERROR(VLOOKUP($B21,'Base de datos'!$A$3:$K$24,10,FALSE),"")))),OR(ISNUMBER(SEARCH("Hach",$B21)),ISNUMBER(SEARCH("Ketamina",$B21))),AND(IFERROR(VLOOKUP($B21,'Base de datos'!$A$3:$K$24,9,FALSE),"")&lt;&gt;"",IFERROR(VLOOKUP($B21,'Base de datos'!$A$3:$K$24,9,FALSE),"")&lt;&gt;0)),"",IFERROR($E21*$C21/$I21,""))</f>
        <v/>
      </c>
      <c r="N21" s="17" t="str">
        <f>IF(OR(OR(UPPER(IFERROR(VLOOKUP($B21,'Base de datos'!$A$3:$K$24,11,FALSE),""))="NO",ISNUMBER(SEARCH("no sometida",IFERROR(VLOOKUP($B21,'Base de datos'!$A$3:$K$24,10,FALSE),""))),ISNUMBER(SEARCH("no fiscal",IFERROR(VLOOKUP($B21,'Base de datos'!$A$3:$K$24,10,FALSE),"")))),OR(ISNUMBER(SEARCH("Hach",$B21)),ISNUMBER(SEARCH("Ketamina",$B21))),AND(IFERROR(VLOOKUP($B21,'Base de datos'!$A$3:$K$24,9,FALSE),"")&lt;&gt;"",IFERROR(VLOOKUP($B21,'Base de datos'!$A$3:$K$24,9,FALSE),"")&lt;&gt;0)),"",IFERROR($E21*$C21/IFERROR(VLOOKUP($B21,'Base de datos'!$A$3:$K$24,5,FALSE),0),""))</f>
        <v/>
      </c>
      <c r="O21" s="17" t="str">
        <f>IF(OR(OR(UPPER(IFERROR(VLOOKUP($B21,'Base de datos'!$A$3:$K$24,11,FALSE),""))="NO",ISNUMBER(SEARCH("no sometida",IFERROR(VLOOKUP($B21,'Base de datos'!$A$3:$K$24,10,FALSE),""))),ISNUMBER(SEARCH("no fiscal",IFERROR(VLOOKUP($B21,'Base de datos'!$A$3:$K$24,10,FALSE),"")))),OR(ISNUMBER(SEARCH("Hach",$B21)),ISNUMBER(SEARCH("Ketamina",$B21))),AND(IFERROR(VLOOKUP($B21,'Base de datos'!$A$3:$K$24,9,FALSE),"")&lt;&gt;"",IFERROR(VLOOKUP($B21,'Base de datos'!$A$3:$K$24,9,FALSE),"")&lt;&gt;0)),"",IFERROR((($E21*$C21/IFERROR(VLOOKUP($B21,'Base de datos'!$A$3:$K$24,3,FALSE),0))*1000)/IFERROR(VLOOKUP($B21,'Base de datos'!$A$3:$K$24,2,FALSE),0),""))</f>
        <v/>
      </c>
    </row>
    <row r="22" spans="1:15" x14ac:dyDescent="0.25">
      <c r="A22" s="15"/>
      <c r="B22" s="15"/>
      <c r="C22" s="16" t="str">
        <f>IFERROR(VLOOKUP($B22,'Base de datos'!$A$3:$K$24,3,FALSE),"")</f>
        <v/>
      </c>
      <c r="D22" s="15" t="str">
        <f t="shared" si="0"/>
        <v/>
      </c>
      <c r="E22" s="17"/>
      <c r="F22" s="18" t="str">
        <f>IF($B22="","",IF(OR(UPPER(IFERROR(VLOOKUP($B22,'Base de datos'!$A$3:$K$24,11,FALSE),""))="NO",ISNUMBER(SEARCH("no sometida",IFERROR(VLOOKUP($B22,'Base de datos'!$A$3:$K$24,10,FALSE),""))),ISNUMBER(SEARCH("no fiscal",IFERROR(VLOOKUP($B22,'Base de datos'!$A$3:$K$24,10,FALSE),"")))),"",IF(OR(OR(ISNUMBER(SEARCH("Hach",$B22)),ISNUMBER(SEARCH("Ketamina",$B22))),AND(IFERROR(VLOOKUP($B22,'Base de datos'!$A$3:$K$24,9,FALSE),"")&lt;&gt;"",IFERROR(VLOOKUP($B22,'Base de datos'!$A$3:$K$24,9,FALSE),"")&lt;&gt;0)),"",IFERROR($M22*VLOOKUP($B22,'Base de datos'!$A$3:$K$24,8,FALSE)/1000,""))))</f>
        <v/>
      </c>
      <c r="G22" s="18" t="str">
        <f>IF($B22="","",IF(OR(UPPER(IFERROR(VLOOKUP($B22,'Base de datos'!$A$3:$K$24,11,FALSE),""))="NO",ISNUMBER(SEARCH("no sometida",IFERROR(VLOOKUP($B22,'Base de datos'!$A$3:$K$24,10,FALSE),""))),ISNUMBER(SEARCH("no fiscal",IFERROR(VLOOKUP($B22,'Base de datos'!$A$3:$K$24,10,FALSE),"")))),"",IFERROR(IF(OR(ISNUMBER(SEARCH("Hach",$B22)),ISNUMBER(SEARCH("Ketamina",$B22))),IF(VLOOKUP($B22,'Base de datos'!$A$3:$K$24,6,FALSE)="","",$E22*VLOOKUP($B22,'Base de datos'!$A$3:$K$24,6,FALSE)),IF(AND(IFERROR(VLOOKUP($B22,'Base de datos'!$A$3:$K$24,9,FALSE),"")&lt;&gt;"",IFERROR(VLOOKUP($B22,'Base de datos'!$A$3:$K$24,9,FALSE),"")&lt;&gt;0),"",IF(VLOOKUP($B22,'Base de datos'!$A$3:$K$24,6,FALSE)="","",$N22*VLOOKUP($B22,'Base de datos'!$A$3:$K$24,6,FALSE)))),"")))</f>
        <v/>
      </c>
      <c r="H22" s="18" t="str">
        <f>IF($B22="","",IF(OR(UPPER(IFERROR(VLOOKUP($B22,'Base de datos'!$A$3:$K$24,11,FALSE),""))="NO",ISNUMBER(SEARCH("no sometida",IFERROR(VLOOKUP($B22,'Base de datos'!$A$3:$K$24,10,FALSE),""))),ISNUMBER(SEARCH("no fiscal",IFERROR(VLOOKUP($B22,'Base de datos'!$A$3:$K$24,10,FALSE),"")))),"",IF(OR(ISNUMBER(SEARCH("Hach",$B22)),ISNUMBER(SEARCH("Ketamina",$B22))),"",IF(AND(IFERROR(VLOOKUP($B22,'Base de datos'!$A$3:$K$24,9,FALSE),"")&lt;&gt;"",IFERROR(VLOOKUP($B22,'Base de datos'!$A$3:$K$24,9,FALSE),"")&lt;&gt;0),$E22*IFERROR(VLOOKUP($B22,'Base de datos'!$A$3:$K$24,9,FALSE),""),IFERROR($O22*VLOOKUP($B22,'Base de datos'!$A$3:$K$24,4,FALSE),"")))))</f>
        <v/>
      </c>
      <c r="I22" s="16" t="str">
        <f>IFERROR(VLOOKUP($B22,'Base de datos'!$A$3:$K$24,7,FALSE),"")</f>
        <v/>
      </c>
      <c r="J22" s="19" t="str">
        <f>IFERROR(VLOOKUP($B22,'Base de datos'!$A$3:$K$24,10,FALSE),"")</f>
        <v/>
      </c>
      <c r="K22" s="17"/>
      <c r="L22" s="15"/>
      <c r="M22" s="17" t="str">
        <f>IF(OR(OR(UPPER(IFERROR(VLOOKUP($B22,'Base de datos'!$A$3:$K$24,11,FALSE),""))="NO",ISNUMBER(SEARCH("no sometida",IFERROR(VLOOKUP($B22,'Base de datos'!$A$3:$K$24,10,FALSE),""))),ISNUMBER(SEARCH("no fiscal",IFERROR(VLOOKUP($B22,'Base de datos'!$A$3:$K$24,10,FALSE),"")))),OR(ISNUMBER(SEARCH("Hach",$B22)),ISNUMBER(SEARCH("Ketamina",$B22))),AND(IFERROR(VLOOKUP($B22,'Base de datos'!$A$3:$K$24,9,FALSE),"")&lt;&gt;"",IFERROR(VLOOKUP($B22,'Base de datos'!$A$3:$K$24,9,FALSE),"")&lt;&gt;0)),"",IFERROR($E22*$C22/$I22,""))</f>
        <v/>
      </c>
      <c r="N22" s="17" t="str">
        <f>IF(OR(OR(UPPER(IFERROR(VLOOKUP($B22,'Base de datos'!$A$3:$K$24,11,FALSE),""))="NO",ISNUMBER(SEARCH("no sometida",IFERROR(VLOOKUP($B22,'Base de datos'!$A$3:$K$24,10,FALSE),""))),ISNUMBER(SEARCH("no fiscal",IFERROR(VLOOKUP($B22,'Base de datos'!$A$3:$K$24,10,FALSE),"")))),OR(ISNUMBER(SEARCH("Hach",$B22)),ISNUMBER(SEARCH("Ketamina",$B22))),AND(IFERROR(VLOOKUP($B22,'Base de datos'!$A$3:$K$24,9,FALSE),"")&lt;&gt;"",IFERROR(VLOOKUP($B22,'Base de datos'!$A$3:$K$24,9,FALSE),"")&lt;&gt;0)),"",IFERROR($E22*$C22/IFERROR(VLOOKUP($B22,'Base de datos'!$A$3:$K$24,5,FALSE),0),""))</f>
        <v/>
      </c>
      <c r="O22" s="17" t="str">
        <f>IF(OR(OR(UPPER(IFERROR(VLOOKUP($B22,'Base de datos'!$A$3:$K$24,11,FALSE),""))="NO",ISNUMBER(SEARCH("no sometida",IFERROR(VLOOKUP($B22,'Base de datos'!$A$3:$K$24,10,FALSE),""))),ISNUMBER(SEARCH("no fiscal",IFERROR(VLOOKUP($B22,'Base de datos'!$A$3:$K$24,10,FALSE),"")))),OR(ISNUMBER(SEARCH("Hach",$B22)),ISNUMBER(SEARCH("Ketamina",$B22))),AND(IFERROR(VLOOKUP($B22,'Base de datos'!$A$3:$K$24,9,FALSE),"")&lt;&gt;"",IFERROR(VLOOKUP($B22,'Base de datos'!$A$3:$K$24,9,FALSE),"")&lt;&gt;0)),"",IFERROR((($E22*$C22/IFERROR(VLOOKUP($B22,'Base de datos'!$A$3:$K$24,3,FALSE),0))*1000)/IFERROR(VLOOKUP($B22,'Base de datos'!$A$3:$K$24,2,FALSE),0),""))</f>
        <v/>
      </c>
    </row>
    <row r="23" spans="1:15" x14ac:dyDescent="0.25">
      <c r="A23" s="15"/>
      <c r="B23" s="15"/>
      <c r="C23" s="16" t="str">
        <f>IFERROR(VLOOKUP($B23,'Base de datos'!$A$3:$K$24,3,FALSE),"")</f>
        <v/>
      </c>
      <c r="D23" s="15" t="str">
        <f t="shared" si="0"/>
        <v/>
      </c>
      <c r="E23" s="17"/>
      <c r="F23" s="18" t="str">
        <f>IF($B23="","",IF(OR(UPPER(IFERROR(VLOOKUP($B23,'Base de datos'!$A$3:$K$24,11,FALSE),""))="NO",ISNUMBER(SEARCH("no sometida",IFERROR(VLOOKUP($B23,'Base de datos'!$A$3:$K$24,10,FALSE),""))),ISNUMBER(SEARCH("no fiscal",IFERROR(VLOOKUP($B23,'Base de datos'!$A$3:$K$24,10,FALSE),"")))),"",IF(OR(OR(ISNUMBER(SEARCH("Hach",$B23)),ISNUMBER(SEARCH("Ketamina",$B23))),AND(IFERROR(VLOOKUP($B23,'Base de datos'!$A$3:$K$24,9,FALSE),"")&lt;&gt;"",IFERROR(VLOOKUP($B23,'Base de datos'!$A$3:$K$24,9,FALSE),"")&lt;&gt;0)),"",IFERROR($M23*VLOOKUP($B23,'Base de datos'!$A$3:$K$24,8,FALSE)/1000,""))))</f>
        <v/>
      </c>
      <c r="G23" s="18" t="str">
        <f>IF($B23="","",IF(OR(UPPER(IFERROR(VLOOKUP($B23,'Base de datos'!$A$3:$K$24,11,FALSE),""))="NO",ISNUMBER(SEARCH("no sometida",IFERROR(VLOOKUP($B23,'Base de datos'!$A$3:$K$24,10,FALSE),""))),ISNUMBER(SEARCH("no fiscal",IFERROR(VLOOKUP($B23,'Base de datos'!$A$3:$K$24,10,FALSE),"")))),"",IFERROR(IF(OR(ISNUMBER(SEARCH("Hach",$B23)),ISNUMBER(SEARCH("Ketamina",$B23))),IF(VLOOKUP($B23,'Base de datos'!$A$3:$K$24,6,FALSE)="","",$E23*VLOOKUP($B23,'Base de datos'!$A$3:$K$24,6,FALSE)),IF(AND(IFERROR(VLOOKUP($B23,'Base de datos'!$A$3:$K$24,9,FALSE),"")&lt;&gt;"",IFERROR(VLOOKUP($B23,'Base de datos'!$A$3:$K$24,9,FALSE),"")&lt;&gt;0),"",IF(VLOOKUP($B23,'Base de datos'!$A$3:$K$24,6,FALSE)="","",$N23*VLOOKUP($B23,'Base de datos'!$A$3:$K$24,6,FALSE)))),"")))</f>
        <v/>
      </c>
      <c r="H23" s="18" t="str">
        <f>IF($B23="","",IF(OR(UPPER(IFERROR(VLOOKUP($B23,'Base de datos'!$A$3:$K$24,11,FALSE),""))="NO",ISNUMBER(SEARCH("no sometida",IFERROR(VLOOKUP($B23,'Base de datos'!$A$3:$K$24,10,FALSE),""))),ISNUMBER(SEARCH("no fiscal",IFERROR(VLOOKUP($B23,'Base de datos'!$A$3:$K$24,10,FALSE),"")))),"",IF(OR(ISNUMBER(SEARCH("Hach",$B23)),ISNUMBER(SEARCH("Ketamina",$B23))),"",IF(AND(IFERROR(VLOOKUP($B23,'Base de datos'!$A$3:$K$24,9,FALSE),"")&lt;&gt;"",IFERROR(VLOOKUP($B23,'Base de datos'!$A$3:$K$24,9,FALSE),"")&lt;&gt;0),$E23*IFERROR(VLOOKUP($B23,'Base de datos'!$A$3:$K$24,9,FALSE),""),IFERROR($O23*VLOOKUP($B23,'Base de datos'!$A$3:$K$24,4,FALSE),"")))))</f>
        <v/>
      </c>
      <c r="I23" s="16" t="str">
        <f>IFERROR(VLOOKUP($B23,'Base de datos'!$A$3:$K$24,7,FALSE),"")</f>
        <v/>
      </c>
      <c r="J23" s="19" t="str">
        <f>IFERROR(VLOOKUP($B23,'Base de datos'!$A$3:$K$24,10,FALSE),"")</f>
        <v/>
      </c>
      <c r="K23" s="17"/>
      <c r="L23" s="15"/>
      <c r="M23" s="17" t="str">
        <f>IF(OR(OR(UPPER(IFERROR(VLOOKUP($B23,'Base de datos'!$A$3:$K$24,11,FALSE),""))="NO",ISNUMBER(SEARCH("no sometida",IFERROR(VLOOKUP($B23,'Base de datos'!$A$3:$K$24,10,FALSE),""))),ISNUMBER(SEARCH("no fiscal",IFERROR(VLOOKUP($B23,'Base de datos'!$A$3:$K$24,10,FALSE),"")))),OR(ISNUMBER(SEARCH("Hach",$B23)),ISNUMBER(SEARCH("Ketamina",$B23))),AND(IFERROR(VLOOKUP($B23,'Base de datos'!$A$3:$K$24,9,FALSE),"")&lt;&gt;"",IFERROR(VLOOKUP($B23,'Base de datos'!$A$3:$K$24,9,FALSE),"")&lt;&gt;0)),"",IFERROR($E23*$C23/$I23,""))</f>
        <v/>
      </c>
      <c r="N23" s="17" t="str">
        <f>IF(OR(OR(UPPER(IFERROR(VLOOKUP($B23,'Base de datos'!$A$3:$K$24,11,FALSE),""))="NO",ISNUMBER(SEARCH("no sometida",IFERROR(VLOOKUP($B23,'Base de datos'!$A$3:$K$24,10,FALSE),""))),ISNUMBER(SEARCH("no fiscal",IFERROR(VLOOKUP($B23,'Base de datos'!$A$3:$K$24,10,FALSE),"")))),OR(ISNUMBER(SEARCH("Hach",$B23)),ISNUMBER(SEARCH("Ketamina",$B23))),AND(IFERROR(VLOOKUP($B23,'Base de datos'!$A$3:$K$24,9,FALSE),"")&lt;&gt;"",IFERROR(VLOOKUP($B23,'Base de datos'!$A$3:$K$24,9,FALSE),"")&lt;&gt;0)),"",IFERROR($E23*$C23/IFERROR(VLOOKUP($B23,'Base de datos'!$A$3:$K$24,5,FALSE),0),""))</f>
        <v/>
      </c>
      <c r="O23" s="17" t="str">
        <f>IF(OR(OR(UPPER(IFERROR(VLOOKUP($B23,'Base de datos'!$A$3:$K$24,11,FALSE),""))="NO",ISNUMBER(SEARCH("no sometida",IFERROR(VLOOKUP($B23,'Base de datos'!$A$3:$K$24,10,FALSE),""))),ISNUMBER(SEARCH("no fiscal",IFERROR(VLOOKUP($B23,'Base de datos'!$A$3:$K$24,10,FALSE),"")))),OR(ISNUMBER(SEARCH("Hach",$B23)),ISNUMBER(SEARCH("Ketamina",$B23))),AND(IFERROR(VLOOKUP($B23,'Base de datos'!$A$3:$K$24,9,FALSE),"")&lt;&gt;"",IFERROR(VLOOKUP($B23,'Base de datos'!$A$3:$K$24,9,FALSE),"")&lt;&gt;0)),"",IFERROR((($E23*$C23/IFERROR(VLOOKUP($B23,'Base de datos'!$A$3:$K$24,3,FALSE),0))*1000)/IFERROR(VLOOKUP($B23,'Base de datos'!$A$3:$K$24,2,FALSE),0),""))</f>
        <v/>
      </c>
    </row>
    <row r="24" spans="1:15" x14ac:dyDescent="0.25">
      <c r="A24" s="15"/>
      <c r="B24" s="15"/>
      <c r="C24" s="16" t="str">
        <f>IFERROR(VLOOKUP($B24,'Base de datos'!$A$3:$K$24,3,FALSE),"")</f>
        <v/>
      </c>
      <c r="D24" s="15" t="str">
        <f t="shared" si="0"/>
        <v/>
      </c>
      <c r="E24" s="17"/>
      <c r="F24" s="18" t="str">
        <f>IF($B24="","",IF(OR(UPPER(IFERROR(VLOOKUP($B24,'Base de datos'!$A$3:$K$24,11,FALSE),""))="NO",ISNUMBER(SEARCH("no sometida",IFERROR(VLOOKUP($B24,'Base de datos'!$A$3:$K$24,10,FALSE),""))),ISNUMBER(SEARCH("no fiscal",IFERROR(VLOOKUP($B24,'Base de datos'!$A$3:$K$24,10,FALSE),"")))),"",IF(OR(OR(ISNUMBER(SEARCH("Hach",$B24)),ISNUMBER(SEARCH("Ketamina",$B24))),AND(IFERROR(VLOOKUP($B24,'Base de datos'!$A$3:$K$24,9,FALSE),"")&lt;&gt;"",IFERROR(VLOOKUP($B24,'Base de datos'!$A$3:$K$24,9,FALSE),"")&lt;&gt;0)),"",IFERROR($M24*VLOOKUP($B24,'Base de datos'!$A$3:$K$24,8,FALSE)/1000,""))))</f>
        <v/>
      </c>
      <c r="G24" s="18" t="str">
        <f>IF($B24="","",IF(OR(UPPER(IFERROR(VLOOKUP($B24,'Base de datos'!$A$3:$K$24,11,FALSE),""))="NO",ISNUMBER(SEARCH("no sometida",IFERROR(VLOOKUP($B24,'Base de datos'!$A$3:$K$24,10,FALSE),""))),ISNUMBER(SEARCH("no fiscal",IFERROR(VLOOKUP($B24,'Base de datos'!$A$3:$K$24,10,FALSE),"")))),"",IFERROR(IF(OR(ISNUMBER(SEARCH("Hach",$B24)),ISNUMBER(SEARCH("Ketamina",$B24))),IF(VLOOKUP($B24,'Base de datos'!$A$3:$K$24,6,FALSE)="","",$E24*VLOOKUP($B24,'Base de datos'!$A$3:$K$24,6,FALSE)),IF(AND(IFERROR(VLOOKUP($B24,'Base de datos'!$A$3:$K$24,9,FALSE),"")&lt;&gt;"",IFERROR(VLOOKUP($B24,'Base de datos'!$A$3:$K$24,9,FALSE),"")&lt;&gt;0),"",IF(VLOOKUP($B24,'Base de datos'!$A$3:$K$24,6,FALSE)="","",$N24*VLOOKUP($B24,'Base de datos'!$A$3:$K$24,6,FALSE)))),"")))</f>
        <v/>
      </c>
      <c r="H24" s="18" t="str">
        <f>IF($B24="","",IF(OR(UPPER(IFERROR(VLOOKUP($B24,'Base de datos'!$A$3:$K$24,11,FALSE),""))="NO",ISNUMBER(SEARCH("no sometida",IFERROR(VLOOKUP($B24,'Base de datos'!$A$3:$K$24,10,FALSE),""))),ISNUMBER(SEARCH("no fiscal",IFERROR(VLOOKUP($B24,'Base de datos'!$A$3:$K$24,10,FALSE),"")))),"",IF(OR(ISNUMBER(SEARCH("Hach",$B24)),ISNUMBER(SEARCH("Ketamina",$B24))),"",IF(AND(IFERROR(VLOOKUP($B24,'Base de datos'!$A$3:$K$24,9,FALSE),"")&lt;&gt;"",IFERROR(VLOOKUP($B24,'Base de datos'!$A$3:$K$24,9,FALSE),"")&lt;&gt;0),$E24*IFERROR(VLOOKUP($B24,'Base de datos'!$A$3:$K$24,9,FALSE),""),IFERROR($O24*VLOOKUP($B24,'Base de datos'!$A$3:$K$24,4,FALSE),"")))))</f>
        <v/>
      </c>
      <c r="I24" s="16" t="str">
        <f>IFERROR(VLOOKUP($B24,'Base de datos'!$A$3:$K$24,7,FALSE),"")</f>
        <v/>
      </c>
      <c r="J24" s="19" t="str">
        <f>IFERROR(VLOOKUP($B24,'Base de datos'!$A$3:$K$24,10,FALSE),"")</f>
        <v/>
      </c>
      <c r="K24" s="17"/>
      <c r="L24" s="15"/>
      <c r="M24" s="17" t="str">
        <f>IF(OR(OR(UPPER(IFERROR(VLOOKUP($B24,'Base de datos'!$A$3:$K$24,11,FALSE),""))="NO",ISNUMBER(SEARCH("no sometida",IFERROR(VLOOKUP($B24,'Base de datos'!$A$3:$K$24,10,FALSE),""))),ISNUMBER(SEARCH("no fiscal",IFERROR(VLOOKUP($B24,'Base de datos'!$A$3:$K$24,10,FALSE),"")))),OR(ISNUMBER(SEARCH("Hach",$B24)),ISNUMBER(SEARCH("Ketamina",$B24))),AND(IFERROR(VLOOKUP($B24,'Base de datos'!$A$3:$K$24,9,FALSE),"")&lt;&gt;"",IFERROR(VLOOKUP($B24,'Base de datos'!$A$3:$K$24,9,FALSE),"")&lt;&gt;0)),"",IFERROR($E24*$C24/$I24,""))</f>
        <v/>
      </c>
      <c r="N24" s="17" t="str">
        <f>IF(OR(OR(UPPER(IFERROR(VLOOKUP($B24,'Base de datos'!$A$3:$K$24,11,FALSE),""))="NO",ISNUMBER(SEARCH("no sometida",IFERROR(VLOOKUP($B24,'Base de datos'!$A$3:$K$24,10,FALSE),""))),ISNUMBER(SEARCH("no fiscal",IFERROR(VLOOKUP($B24,'Base de datos'!$A$3:$K$24,10,FALSE),"")))),OR(ISNUMBER(SEARCH("Hach",$B24)),ISNUMBER(SEARCH("Ketamina",$B24))),AND(IFERROR(VLOOKUP($B24,'Base de datos'!$A$3:$K$24,9,FALSE),"")&lt;&gt;"",IFERROR(VLOOKUP($B24,'Base de datos'!$A$3:$K$24,9,FALSE),"")&lt;&gt;0)),"",IFERROR($E24*$C24/IFERROR(VLOOKUP($B24,'Base de datos'!$A$3:$K$24,5,FALSE),0),""))</f>
        <v/>
      </c>
      <c r="O24" s="17" t="str">
        <f>IF(OR(OR(UPPER(IFERROR(VLOOKUP($B24,'Base de datos'!$A$3:$K$24,11,FALSE),""))="NO",ISNUMBER(SEARCH("no sometida",IFERROR(VLOOKUP($B24,'Base de datos'!$A$3:$K$24,10,FALSE),""))),ISNUMBER(SEARCH("no fiscal",IFERROR(VLOOKUP($B24,'Base de datos'!$A$3:$K$24,10,FALSE),"")))),OR(ISNUMBER(SEARCH("Hach",$B24)),ISNUMBER(SEARCH("Ketamina",$B24))),AND(IFERROR(VLOOKUP($B24,'Base de datos'!$A$3:$K$24,9,FALSE),"")&lt;&gt;"",IFERROR(VLOOKUP($B24,'Base de datos'!$A$3:$K$24,9,FALSE),"")&lt;&gt;0)),"",IFERROR((($E24*$C24/IFERROR(VLOOKUP($B24,'Base de datos'!$A$3:$K$24,3,FALSE),0))*1000)/IFERROR(VLOOKUP($B24,'Base de datos'!$A$3:$K$24,2,FALSE),0),""))</f>
        <v/>
      </c>
    </row>
    <row r="25" spans="1:15" x14ac:dyDescent="0.25">
      <c r="A25" s="15"/>
      <c r="B25" s="15"/>
      <c r="C25" s="16" t="str">
        <f>IFERROR(VLOOKUP($B25,'Base de datos'!$A$3:$K$24,3,FALSE),"")</f>
        <v/>
      </c>
      <c r="D25" s="15" t="str">
        <f t="shared" si="0"/>
        <v/>
      </c>
      <c r="E25" s="17"/>
      <c r="F25" s="18" t="str">
        <f>IF($B25="","",IF(OR(UPPER(IFERROR(VLOOKUP($B25,'Base de datos'!$A$3:$K$24,11,FALSE),""))="NO",ISNUMBER(SEARCH("no sometida",IFERROR(VLOOKUP($B25,'Base de datos'!$A$3:$K$24,10,FALSE),""))),ISNUMBER(SEARCH("no fiscal",IFERROR(VLOOKUP($B25,'Base de datos'!$A$3:$K$24,10,FALSE),"")))),"",IF(OR(OR(ISNUMBER(SEARCH("Hach",$B25)),ISNUMBER(SEARCH("Ketamina",$B25))),AND(IFERROR(VLOOKUP($B25,'Base de datos'!$A$3:$K$24,9,FALSE),"")&lt;&gt;"",IFERROR(VLOOKUP($B25,'Base de datos'!$A$3:$K$24,9,FALSE),"")&lt;&gt;0)),"",IFERROR($M25*VLOOKUP($B25,'Base de datos'!$A$3:$K$24,8,FALSE)/1000,""))))</f>
        <v/>
      </c>
      <c r="G25" s="18" t="str">
        <f>IF($B25="","",IF(OR(UPPER(IFERROR(VLOOKUP($B25,'Base de datos'!$A$3:$K$24,11,FALSE),""))="NO",ISNUMBER(SEARCH("no sometida",IFERROR(VLOOKUP($B25,'Base de datos'!$A$3:$K$24,10,FALSE),""))),ISNUMBER(SEARCH("no fiscal",IFERROR(VLOOKUP($B25,'Base de datos'!$A$3:$K$24,10,FALSE),"")))),"",IFERROR(IF(OR(ISNUMBER(SEARCH("Hach",$B25)),ISNUMBER(SEARCH("Ketamina",$B25))),IF(VLOOKUP($B25,'Base de datos'!$A$3:$K$24,6,FALSE)="","",$E25*VLOOKUP($B25,'Base de datos'!$A$3:$K$24,6,FALSE)),IF(AND(IFERROR(VLOOKUP($B25,'Base de datos'!$A$3:$K$24,9,FALSE),"")&lt;&gt;"",IFERROR(VLOOKUP($B25,'Base de datos'!$A$3:$K$24,9,FALSE),"")&lt;&gt;0),"",IF(VLOOKUP($B25,'Base de datos'!$A$3:$K$24,6,FALSE)="","",$N25*VLOOKUP($B25,'Base de datos'!$A$3:$K$24,6,FALSE)))),"")))</f>
        <v/>
      </c>
      <c r="H25" s="18" t="str">
        <f>IF($B25="","",IF(OR(UPPER(IFERROR(VLOOKUP($B25,'Base de datos'!$A$3:$K$24,11,FALSE),""))="NO",ISNUMBER(SEARCH("no sometida",IFERROR(VLOOKUP($B25,'Base de datos'!$A$3:$K$24,10,FALSE),""))),ISNUMBER(SEARCH("no fiscal",IFERROR(VLOOKUP($B25,'Base de datos'!$A$3:$K$24,10,FALSE),"")))),"",IF(OR(ISNUMBER(SEARCH("Hach",$B25)),ISNUMBER(SEARCH("Ketamina",$B25))),"",IF(AND(IFERROR(VLOOKUP($B25,'Base de datos'!$A$3:$K$24,9,FALSE),"")&lt;&gt;"",IFERROR(VLOOKUP($B25,'Base de datos'!$A$3:$K$24,9,FALSE),"")&lt;&gt;0),$E25*IFERROR(VLOOKUP($B25,'Base de datos'!$A$3:$K$24,9,FALSE),""),IFERROR($O25*VLOOKUP($B25,'Base de datos'!$A$3:$K$24,4,FALSE),"")))))</f>
        <v/>
      </c>
      <c r="I25" s="16" t="str">
        <f>IFERROR(VLOOKUP($B25,'Base de datos'!$A$3:$K$24,7,FALSE),"")</f>
        <v/>
      </c>
      <c r="J25" s="19" t="str">
        <f>IFERROR(VLOOKUP($B25,'Base de datos'!$A$3:$K$24,10,FALSE),"")</f>
        <v/>
      </c>
      <c r="K25" s="17"/>
      <c r="L25" s="15"/>
      <c r="M25" s="17" t="str">
        <f>IF(OR(OR(UPPER(IFERROR(VLOOKUP($B25,'Base de datos'!$A$3:$K$24,11,FALSE),""))="NO",ISNUMBER(SEARCH("no sometida",IFERROR(VLOOKUP($B25,'Base de datos'!$A$3:$K$24,10,FALSE),""))),ISNUMBER(SEARCH("no fiscal",IFERROR(VLOOKUP($B25,'Base de datos'!$A$3:$K$24,10,FALSE),"")))),OR(ISNUMBER(SEARCH("Hach",$B25)),ISNUMBER(SEARCH("Ketamina",$B25))),AND(IFERROR(VLOOKUP($B25,'Base de datos'!$A$3:$K$24,9,FALSE),"")&lt;&gt;"",IFERROR(VLOOKUP($B25,'Base de datos'!$A$3:$K$24,9,FALSE),"")&lt;&gt;0)),"",IFERROR($E25*$C25/$I25,""))</f>
        <v/>
      </c>
      <c r="N25" s="17" t="str">
        <f>IF(OR(OR(UPPER(IFERROR(VLOOKUP($B25,'Base de datos'!$A$3:$K$24,11,FALSE),""))="NO",ISNUMBER(SEARCH("no sometida",IFERROR(VLOOKUP($B25,'Base de datos'!$A$3:$K$24,10,FALSE),""))),ISNUMBER(SEARCH("no fiscal",IFERROR(VLOOKUP($B25,'Base de datos'!$A$3:$K$24,10,FALSE),"")))),OR(ISNUMBER(SEARCH("Hach",$B25)),ISNUMBER(SEARCH("Ketamina",$B25))),AND(IFERROR(VLOOKUP($B25,'Base de datos'!$A$3:$K$24,9,FALSE),"")&lt;&gt;"",IFERROR(VLOOKUP($B25,'Base de datos'!$A$3:$K$24,9,FALSE),"")&lt;&gt;0)),"",IFERROR($E25*$C25/IFERROR(VLOOKUP($B25,'Base de datos'!$A$3:$K$24,5,FALSE),0),""))</f>
        <v/>
      </c>
      <c r="O25" s="17" t="str">
        <f>IF(OR(OR(UPPER(IFERROR(VLOOKUP($B25,'Base de datos'!$A$3:$K$24,11,FALSE),""))="NO",ISNUMBER(SEARCH("no sometida",IFERROR(VLOOKUP($B25,'Base de datos'!$A$3:$K$24,10,FALSE),""))),ISNUMBER(SEARCH("no fiscal",IFERROR(VLOOKUP($B25,'Base de datos'!$A$3:$K$24,10,FALSE),"")))),OR(ISNUMBER(SEARCH("Hach",$B25)),ISNUMBER(SEARCH("Ketamina",$B25))),AND(IFERROR(VLOOKUP($B25,'Base de datos'!$A$3:$K$24,9,FALSE),"")&lt;&gt;"",IFERROR(VLOOKUP($B25,'Base de datos'!$A$3:$K$24,9,FALSE),"")&lt;&gt;0)),"",IFERROR((($E25*$C25/IFERROR(VLOOKUP($B25,'Base de datos'!$A$3:$K$24,3,FALSE),0))*1000)/IFERROR(VLOOKUP($B25,'Base de datos'!$A$3:$K$24,2,FALSE),0),""))</f>
        <v/>
      </c>
    </row>
    <row r="26" spans="1:15" x14ac:dyDescent="0.25">
      <c r="A26" s="15"/>
      <c r="B26" s="15"/>
      <c r="C26" s="16" t="str">
        <f>IFERROR(VLOOKUP($B26,'Base de datos'!$A$3:$K$24,3,FALSE),"")</f>
        <v/>
      </c>
      <c r="D26" s="15" t="str">
        <f t="shared" si="0"/>
        <v/>
      </c>
      <c r="E26" s="17"/>
      <c r="F26" s="18" t="str">
        <f>IF($B26="","",IF(OR(UPPER(IFERROR(VLOOKUP($B26,'Base de datos'!$A$3:$K$24,11,FALSE),""))="NO",ISNUMBER(SEARCH("no sometida",IFERROR(VLOOKUP($B26,'Base de datos'!$A$3:$K$24,10,FALSE),""))),ISNUMBER(SEARCH("no fiscal",IFERROR(VLOOKUP($B26,'Base de datos'!$A$3:$K$24,10,FALSE),"")))),"",IF(OR(OR(ISNUMBER(SEARCH("Hach",$B26)),ISNUMBER(SEARCH("Ketamina",$B26))),AND(IFERROR(VLOOKUP($B26,'Base de datos'!$A$3:$K$24,9,FALSE),"")&lt;&gt;"",IFERROR(VLOOKUP($B26,'Base de datos'!$A$3:$K$24,9,FALSE),"")&lt;&gt;0)),"",IFERROR($M26*VLOOKUP($B26,'Base de datos'!$A$3:$K$24,8,FALSE)/1000,""))))</f>
        <v/>
      </c>
      <c r="G26" s="18" t="str">
        <f>IF($B26="","",IF(OR(UPPER(IFERROR(VLOOKUP($B26,'Base de datos'!$A$3:$K$24,11,FALSE),""))="NO",ISNUMBER(SEARCH("no sometida",IFERROR(VLOOKUP($B26,'Base de datos'!$A$3:$K$24,10,FALSE),""))),ISNUMBER(SEARCH("no fiscal",IFERROR(VLOOKUP($B26,'Base de datos'!$A$3:$K$24,10,FALSE),"")))),"",IFERROR(IF(OR(ISNUMBER(SEARCH("Hach",$B26)),ISNUMBER(SEARCH("Ketamina",$B26))),IF(VLOOKUP($B26,'Base de datos'!$A$3:$K$24,6,FALSE)="","",$E26*VLOOKUP($B26,'Base de datos'!$A$3:$K$24,6,FALSE)),IF(AND(IFERROR(VLOOKUP($B26,'Base de datos'!$A$3:$K$24,9,FALSE),"")&lt;&gt;"",IFERROR(VLOOKUP($B26,'Base de datos'!$A$3:$K$24,9,FALSE),"")&lt;&gt;0),"",IF(VLOOKUP($B26,'Base de datos'!$A$3:$K$24,6,FALSE)="","",$N26*VLOOKUP($B26,'Base de datos'!$A$3:$K$24,6,FALSE)))),"")))</f>
        <v/>
      </c>
      <c r="H26" s="18" t="str">
        <f>IF($B26="","",IF(OR(UPPER(IFERROR(VLOOKUP($B26,'Base de datos'!$A$3:$K$24,11,FALSE),""))="NO",ISNUMBER(SEARCH("no sometida",IFERROR(VLOOKUP($B26,'Base de datos'!$A$3:$K$24,10,FALSE),""))),ISNUMBER(SEARCH("no fiscal",IFERROR(VLOOKUP($B26,'Base de datos'!$A$3:$K$24,10,FALSE),"")))),"",IF(OR(ISNUMBER(SEARCH("Hach",$B26)),ISNUMBER(SEARCH("Ketamina",$B26))),"",IF(AND(IFERROR(VLOOKUP($B26,'Base de datos'!$A$3:$K$24,9,FALSE),"")&lt;&gt;"",IFERROR(VLOOKUP($B26,'Base de datos'!$A$3:$K$24,9,FALSE),"")&lt;&gt;0),$E26*IFERROR(VLOOKUP($B26,'Base de datos'!$A$3:$K$24,9,FALSE),""),IFERROR($O26*VLOOKUP($B26,'Base de datos'!$A$3:$K$24,4,FALSE),"")))))</f>
        <v/>
      </c>
      <c r="I26" s="16" t="str">
        <f>IFERROR(VLOOKUP($B26,'Base de datos'!$A$3:$K$24,7,FALSE),"")</f>
        <v/>
      </c>
      <c r="J26" s="19" t="str">
        <f>IFERROR(VLOOKUP($B26,'Base de datos'!$A$3:$K$24,10,FALSE),"")</f>
        <v/>
      </c>
      <c r="K26" s="17"/>
      <c r="L26" s="15"/>
      <c r="M26" s="17" t="str">
        <f>IF(OR(OR(UPPER(IFERROR(VLOOKUP($B26,'Base de datos'!$A$3:$K$24,11,FALSE),""))="NO",ISNUMBER(SEARCH("no sometida",IFERROR(VLOOKUP($B26,'Base de datos'!$A$3:$K$24,10,FALSE),""))),ISNUMBER(SEARCH("no fiscal",IFERROR(VLOOKUP($B26,'Base de datos'!$A$3:$K$24,10,FALSE),"")))),OR(ISNUMBER(SEARCH("Hach",$B26)),ISNUMBER(SEARCH("Ketamina",$B26))),AND(IFERROR(VLOOKUP($B26,'Base de datos'!$A$3:$K$24,9,FALSE),"")&lt;&gt;"",IFERROR(VLOOKUP($B26,'Base de datos'!$A$3:$K$24,9,FALSE),"")&lt;&gt;0)),"",IFERROR($E26*$C26/$I26,""))</f>
        <v/>
      </c>
      <c r="N26" s="17" t="str">
        <f>IF(OR(OR(UPPER(IFERROR(VLOOKUP($B26,'Base de datos'!$A$3:$K$24,11,FALSE),""))="NO",ISNUMBER(SEARCH("no sometida",IFERROR(VLOOKUP($B26,'Base de datos'!$A$3:$K$24,10,FALSE),""))),ISNUMBER(SEARCH("no fiscal",IFERROR(VLOOKUP($B26,'Base de datos'!$A$3:$K$24,10,FALSE),"")))),OR(ISNUMBER(SEARCH("Hach",$B26)),ISNUMBER(SEARCH("Ketamina",$B26))),AND(IFERROR(VLOOKUP($B26,'Base de datos'!$A$3:$K$24,9,FALSE),"")&lt;&gt;"",IFERROR(VLOOKUP($B26,'Base de datos'!$A$3:$K$24,9,FALSE),"")&lt;&gt;0)),"",IFERROR($E26*$C26/IFERROR(VLOOKUP($B26,'Base de datos'!$A$3:$K$24,5,FALSE),0),""))</f>
        <v/>
      </c>
      <c r="O26" s="17" t="str">
        <f>IF(OR(OR(UPPER(IFERROR(VLOOKUP($B26,'Base de datos'!$A$3:$K$24,11,FALSE),""))="NO",ISNUMBER(SEARCH("no sometida",IFERROR(VLOOKUP($B26,'Base de datos'!$A$3:$K$24,10,FALSE),""))),ISNUMBER(SEARCH("no fiscal",IFERROR(VLOOKUP($B26,'Base de datos'!$A$3:$K$24,10,FALSE),"")))),OR(ISNUMBER(SEARCH("Hach",$B26)),ISNUMBER(SEARCH("Ketamina",$B26))),AND(IFERROR(VLOOKUP($B26,'Base de datos'!$A$3:$K$24,9,FALSE),"")&lt;&gt;"",IFERROR(VLOOKUP($B26,'Base de datos'!$A$3:$K$24,9,FALSE),"")&lt;&gt;0)),"",IFERROR((($E26*$C26/IFERROR(VLOOKUP($B26,'Base de datos'!$A$3:$K$24,3,FALSE),0))*1000)/IFERROR(VLOOKUP($B26,'Base de datos'!$A$3:$K$24,2,FALSE),0),""))</f>
        <v/>
      </c>
    </row>
    <row r="27" spans="1:15" x14ac:dyDescent="0.25">
      <c r="A27" s="15"/>
      <c r="B27" s="15"/>
      <c r="C27" s="16" t="str">
        <f>IFERROR(VLOOKUP($B27,'Base de datos'!$A$3:$K$24,3,FALSE),"")</f>
        <v/>
      </c>
      <c r="D27" s="15" t="str">
        <f t="shared" si="0"/>
        <v/>
      </c>
      <c r="E27" s="17"/>
      <c r="F27" s="18" t="str">
        <f>IF($B27="","",IF(OR(UPPER(IFERROR(VLOOKUP($B27,'Base de datos'!$A$3:$K$24,11,FALSE),""))="NO",ISNUMBER(SEARCH("no sometida",IFERROR(VLOOKUP($B27,'Base de datos'!$A$3:$K$24,10,FALSE),""))),ISNUMBER(SEARCH("no fiscal",IFERROR(VLOOKUP($B27,'Base de datos'!$A$3:$K$24,10,FALSE),"")))),"",IF(OR(OR(ISNUMBER(SEARCH("Hach",$B27)),ISNUMBER(SEARCH("Ketamina",$B27))),AND(IFERROR(VLOOKUP($B27,'Base de datos'!$A$3:$K$24,9,FALSE),"")&lt;&gt;"",IFERROR(VLOOKUP($B27,'Base de datos'!$A$3:$K$24,9,FALSE),"")&lt;&gt;0)),"",IFERROR($M27*VLOOKUP($B27,'Base de datos'!$A$3:$K$24,8,FALSE)/1000,""))))</f>
        <v/>
      </c>
      <c r="G27" s="18" t="str">
        <f>IF($B27="","",IF(OR(UPPER(IFERROR(VLOOKUP($B27,'Base de datos'!$A$3:$K$24,11,FALSE),""))="NO",ISNUMBER(SEARCH("no sometida",IFERROR(VLOOKUP($B27,'Base de datos'!$A$3:$K$24,10,FALSE),""))),ISNUMBER(SEARCH("no fiscal",IFERROR(VLOOKUP($B27,'Base de datos'!$A$3:$K$24,10,FALSE),"")))),"",IFERROR(IF(OR(ISNUMBER(SEARCH("Hach",$B27)),ISNUMBER(SEARCH("Ketamina",$B27))),IF(VLOOKUP($B27,'Base de datos'!$A$3:$K$24,6,FALSE)="","",$E27*VLOOKUP($B27,'Base de datos'!$A$3:$K$24,6,FALSE)),IF(AND(IFERROR(VLOOKUP($B27,'Base de datos'!$A$3:$K$24,9,FALSE),"")&lt;&gt;"",IFERROR(VLOOKUP($B27,'Base de datos'!$A$3:$K$24,9,FALSE),"")&lt;&gt;0),"",IF(VLOOKUP($B27,'Base de datos'!$A$3:$K$24,6,FALSE)="","",$N27*VLOOKUP($B27,'Base de datos'!$A$3:$K$24,6,FALSE)))),"")))</f>
        <v/>
      </c>
      <c r="H27" s="18" t="str">
        <f>IF($B27="","",IF(OR(UPPER(IFERROR(VLOOKUP($B27,'Base de datos'!$A$3:$K$24,11,FALSE),""))="NO",ISNUMBER(SEARCH("no sometida",IFERROR(VLOOKUP($B27,'Base de datos'!$A$3:$K$24,10,FALSE),""))),ISNUMBER(SEARCH("no fiscal",IFERROR(VLOOKUP($B27,'Base de datos'!$A$3:$K$24,10,FALSE),"")))),"",IF(OR(ISNUMBER(SEARCH("Hach",$B27)),ISNUMBER(SEARCH("Ketamina",$B27))),"",IF(AND(IFERROR(VLOOKUP($B27,'Base de datos'!$A$3:$K$24,9,FALSE),"")&lt;&gt;"",IFERROR(VLOOKUP($B27,'Base de datos'!$A$3:$K$24,9,FALSE),"")&lt;&gt;0),$E27*IFERROR(VLOOKUP($B27,'Base de datos'!$A$3:$K$24,9,FALSE),""),IFERROR($O27*VLOOKUP($B27,'Base de datos'!$A$3:$K$24,4,FALSE),"")))))</f>
        <v/>
      </c>
      <c r="I27" s="16" t="str">
        <f>IFERROR(VLOOKUP($B27,'Base de datos'!$A$3:$K$24,7,FALSE),"")</f>
        <v/>
      </c>
      <c r="J27" s="19" t="str">
        <f>IFERROR(VLOOKUP($B27,'Base de datos'!$A$3:$K$24,10,FALSE),"")</f>
        <v/>
      </c>
      <c r="K27" s="17"/>
      <c r="L27" s="15"/>
      <c r="M27" s="17" t="str">
        <f>IF(OR(OR(UPPER(IFERROR(VLOOKUP($B27,'Base de datos'!$A$3:$K$24,11,FALSE),""))="NO",ISNUMBER(SEARCH("no sometida",IFERROR(VLOOKUP($B27,'Base de datos'!$A$3:$K$24,10,FALSE),""))),ISNUMBER(SEARCH("no fiscal",IFERROR(VLOOKUP($B27,'Base de datos'!$A$3:$K$24,10,FALSE),"")))),OR(ISNUMBER(SEARCH("Hach",$B27)),ISNUMBER(SEARCH("Ketamina",$B27))),AND(IFERROR(VLOOKUP($B27,'Base de datos'!$A$3:$K$24,9,FALSE),"")&lt;&gt;"",IFERROR(VLOOKUP($B27,'Base de datos'!$A$3:$K$24,9,FALSE),"")&lt;&gt;0)),"",IFERROR($E27*$C27/$I27,""))</f>
        <v/>
      </c>
      <c r="N27" s="17" t="str">
        <f>IF(OR(OR(UPPER(IFERROR(VLOOKUP($B27,'Base de datos'!$A$3:$K$24,11,FALSE),""))="NO",ISNUMBER(SEARCH("no sometida",IFERROR(VLOOKUP($B27,'Base de datos'!$A$3:$K$24,10,FALSE),""))),ISNUMBER(SEARCH("no fiscal",IFERROR(VLOOKUP($B27,'Base de datos'!$A$3:$K$24,10,FALSE),"")))),OR(ISNUMBER(SEARCH("Hach",$B27)),ISNUMBER(SEARCH("Ketamina",$B27))),AND(IFERROR(VLOOKUP($B27,'Base de datos'!$A$3:$K$24,9,FALSE),"")&lt;&gt;"",IFERROR(VLOOKUP($B27,'Base de datos'!$A$3:$K$24,9,FALSE),"")&lt;&gt;0)),"",IFERROR($E27*$C27/IFERROR(VLOOKUP($B27,'Base de datos'!$A$3:$K$24,5,FALSE),0),""))</f>
        <v/>
      </c>
      <c r="O27" s="17" t="str">
        <f>IF(OR(OR(UPPER(IFERROR(VLOOKUP($B27,'Base de datos'!$A$3:$K$24,11,FALSE),""))="NO",ISNUMBER(SEARCH("no sometida",IFERROR(VLOOKUP($B27,'Base de datos'!$A$3:$K$24,10,FALSE),""))),ISNUMBER(SEARCH("no fiscal",IFERROR(VLOOKUP($B27,'Base de datos'!$A$3:$K$24,10,FALSE),"")))),OR(ISNUMBER(SEARCH("Hach",$B27)),ISNUMBER(SEARCH("Ketamina",$B27))),AND(IFERROR(VLOOKUP($B27,'Base de datos'!$A$3:$K$24,9,FALSE),"")&lt;&gt;"",IFERROR(VLOOKUP($B27,'Base de datos'!$A$3:$K$24,9,FALSE),"")&lt;&gt;0)),"",IFERROR((($E27*$C27/IFERROR(VLOOKUP($B27,'Base de datos'!$A$3:$K$24,3,FALSE),0))*1000)/IFERROR(VLOOKUP($B27,'Base de datos'!$A$3:$K$24,2,FALSE),0),""))</f>
        <v/>
      </c>
    </row>
    <row r="28" spans="1:15" x14ac:dyDescent="0.25">
      <c r="A28" s="15"/>
      <c r="B28" s="15"/>
      <c r="C28" s="16" t="str">
        <f>IFERROR(VLOOKUP($B28,'Base de datos'!$A$3:$K$24,3,FALSE),"")</f>
        <v/>
      </c>
      <c r="D28" s="15" t="str">
        <f t="shared" si="0"/>
        <v/>
      </c>
      <c r="E28" s="17"/>
      <c r="F28" s="18" t="str">
        <f>IF($B28="","",IF(OR(UPPER(IFERROR(VLOOKUP($B28,'Base de datos'!$A$3:$K$24,11,FALSE),""))="NO",ISNUMBER(SEARCH("no sometida",IFERROR(VLOOKUP($B28,'Base de datos'!$A$3:$K$24,10,FALSE),""))),ISNUMBER(SEARCH("no fiscal",IFERROR(VLOOKUP($B28,'Base de datos'!$A$3:$K$24,10,FALSE),"")))),"",IF(OR(OR(ISNUMBER(SEARCH("Hach",$B28)),ISNUMBER(SEARCH("Ketamina",$B28))),AND(IFERROR(VLOOKUP($B28,'Base de datos'!$A$3:$K$24,9,FALSE),"")&lt;&gt;"",IFERROR(VLOOKUP($B28,'Base de datos'!$A$3:$K$24,9,FALSE),"")&lt;&gt;0)),"",IFERROR($M28*VLOOKUP($B28,'Base de datos'!$A$3:$K$24,8,FALSE)/1000,""))))</f>
        <v/>
      </c>
      <c r="G28" s="18" t="str">
        <f>IF($B28="","",IF(OR(UPPER(IFERROR(VLOOKUP($B28,'Base de datos'!$A$3:$K$24,11,FALSE),""))="NO",ISNUMBER(SEARCH("no sometida",IFERROR(VLOOKUP($B28,'Base de datos'!$A$3:$K$24,10,FALSE),""))),ISNUMBER(SEARCH("no fiscal",IFERROR(VLOOKUP($B28,'Base de datos'!$A$3:$K$24,10,FALSE),"")))),"",IFERROR(IF(OR(ISNUMBER(SEARCH("Hach",$B28)),ISNUMBER(SEARCH("Ketamina",$B28))),IF(VLOOKUP($B28,'Base de datos'!$A$3:$K$24,6,FALSE)="","",$E28*VLOOKUP($B28,'Base de datos'!$A$3:$K$24,6,FALSE)),IF(AND(IFERROR(VLOOKUP($B28,'Base de datos'!$A$3:$K$24,9,FALSE),"")&lt;&gt;"",IFERROR(VLOOKUP($B28,'Base de datos'!$A$3:$K$24,9,FALSE),"")&lt;&gt;0),"",IF(VLOOKUP($B28,'Base de datos'!$A$3:$K$24,6,FALSE)="","",$N28*VLOOKUP($B28,'Base de datos'!$A$3:$K$24,6,FALSE)))),"")))</f>
        <v/>
      </c>
      <c r="H28" s="18" t="str">
        <f>IF($B28="","",IF(OR(UPPER(IFERROR(VLOOKUP($B28,'Base de datos'!$A$3:$K$24,11,FALSE),""))="NO",ISNUMBER(SEARCH("no sometida",IFERROR(VLOOKUP($B28,'Base de datos'!$A$3:$K$24,10,FALSE),""))),ISNUMBER(SEARCH("no fiscal",IFERROR(VLOOKUP($B28,'Base de datos'!$A$3:$K$24,10,FALSE),"")))),"",IF(OR(ISNUMBER(SEARCH("Hach",$B28)),ISNUMBER(SEARCH("Ketamina",$B28))),"",IF(AND(IFERROR(VLOOKUP($B28,'Base de datos'!$A$3:$K$24,9,FALSE),"")&lt;&gt;"",IFERROR(VLOOKUP($B28,'Base de datos'!$A$3:$K$24,9,FALSE),"")&lt;&gt;0),$E28*IFERROR(VLOOKUP($B28,'Base de datos'!$A$3:$K$24,9,FALSE),""),IFERROR($O28*VLOOKUP($B28,'Base de datos'!$A$3:$K$24,4,FALSE),"")))))</f>
        <v/>
      </c>
      <c r="I28" s="16" t="str">
        <f>IFERROR(VLOOKUP($B28,'Base de datos'!$A$3:$K$24,7,FALSE),"")</f>
        <v/>
      </c>
      <c r="J28" s="19" t="str">
        <f>IFERROR(VLOOKUP($B28,'Base de datos'!$A$3:$K$24,10,FALSE),"")</f>
        <v/>
      </c>
      <c r="K28" s="17"/>
      <c r="L28" s="15"/>
      <c r="M28" s="17" t="str">
        <f>IF(OR(OR(UPPER(IFERROR(VLOOKUP($B28,'Base de datos'!$A$3:$K$24,11,FALSE),""))="NO",ISNUMBER(SEARCH("no sometida",IFERROR(VLOOKUP($B28,'Base de datos'!$A$3:$K$24,10,FALSE),""))),ISNUMBER(SEARCH("no fiscal",IFERROR(VLOOKUP($B28,'Base de datos'!$A$3:$K$24,10,FALSE),"")))),OR(ISNUMBER(SEARCH("Hach",$B28)),ISNUMBER(SEARCH("Ketamina",$B28))),AND(IFERROR(VLOOKUP($B28,'Base de datos'!$A$3:$K$24,9,FALSE),"")&lt;&gt;"",IFERROR(VLOOKUP($B28,'Base de datos'!$A$3:$K$24,9,FALSE),"")&lt;&gt;0)),"",IFERROR($E28*$C28/$I28,""))</f>
        <v/>
      </c>
      <c r="N28" s="17" t="str">
        <f>IF(OR(OR(UPPER(IFERROR(VLOOKUP($B28,'Base de datos'!$A$3:$K$24,11,FALSE),""))="NO",ISNUMBER(SEARCH("no sometida",IFERROR(VLOOKUP($B28,'Base de datos'!$A$3:$K$24,10,FALSE),""))),ISNUMBER(SEARCH("no fiscal",IFERROR(VLOOKUP($B28,'Base de datos'!$A$3:$K$24,10,FALSE),"")))),OR(ISNUMBER(SEARCH("Hach",$B28)),ISNUMBER(SEARCH("Ketamina",$B28))),AND(IFERROR(VLOOKUP($B28,'Base de datos'!$A$3:$K$24,9,FALSE),"")&lt;&gt;"",IFERROR(VLOOKUP($B28,'Base de datos'!$A$3:$K$24,9,FALSE),"")&lt;&gt;0)),"",IFERROR($E28*$C28/IFERROR(VLOOKUP($B28,'Base de datos'!$A$3:$K$24,5,FALSE),0),""))</f>
        <v/>
      </c>
      <c r="O28" s="17" t="str">
        <f>IF(OR(OR(UPPER(IFERROR(VLOOKUP($B28,'Base de datos'!$A$3:$K$24,11,FALSE),""))="NO",ISNUMBER(SEARCH("no sometida",IFERROR(VLOOKUP($B28,'Base de datos'!$A$3:$K$24,10,FALSE),""))),ISNUMBER(SEARCH("no fiscal",IFERROR(VLOOKUP($B28,'Base de datos'!$A$3:$K$24,10,FALSE),"")))),OR(ISNUMBER(SEARCH("Hach",$B28)),ISNUMBER(SEARCH("Ketamina",$B28))),AND(IFERROR(VLOOKUP($B28,'Base de datos'!$A$3:$K$24,9,FALSE),"")&lt;&gt;"",IFERROR(VLOOKUP($B28,'Base de datos'!$A$3:$K$24,9,FALSE),"")&lt;&gt;0)),"",IFERROR((($E28*$C28/IFERROR(VLOOKUP($B28,'Base de datos'!$A$3:$K$24,3,FALSE),0))*1000)/IFERROR(VLOOKUP($B28,'Base de datos'!$A$3:$K$24,2,FALSE),0),""))</f>
        <v/>
      </c>
    </row>
    <row r="29" spans="1:15" x14ac:dyDescent="0.25">
      <c r="A29" s="15"/>
      <c r="B29" s="15"/>
      <c r="C29" s="16" t="str">
        <f>IFERROR(VLOOKUP($B29,'Base de datos'!$A$3:$K$24,3,FALSE),"")</f>
        <v/>
      </c>
      <c r="D29" s="15" t="str">
        <f t="shared" si="0"/>
        <v/>
      </c>
      <c r="E29" s="17"/>
      <c r="F29" s="18" t="str">
        <f>IF($B29="","",IF(OR(UPPER(IFERROR(VLOOKUP($B29,'Base de datos'!$A$3:$K$24,11,FALSE),""))="NO",ISNUMBER(SEARCH("no sometida",IFERROR(VLOOKUP($B29,'Base de datos'!$A$3:$K$24,10,FALSE),""))),ISNUMBER(SEARCH("no fiscal",IFERROR(VLOOKUP($B29,'Base de datos'!$A$3:$K$24,10,FALSE),"")))),"",IF(OR(OR(ISNUMBER(SEARCH("Hach",$B29)),ISNUMBER(SEARCH("Ketamina",$B29))),AND(IFERROR(VLOOKUP($B29,'Base de datos'!$A$3:$K$24,9,FALSE),"")&lt;&gt;"",IFERROR(VLOOKUP($B29,'Base de datos'!$A$3:$K$24,9,FALSE),"")&lt;&gt;0)),"",IFERROR($M29*VLOOKUP($B29,'Base de datos'!$A$3:$K$24,8,FALSE)/1000,""))))</f>
        <v/>
      </c>
      <c r="G29" s="18" t="str">
        <f>IF($B29="","",IF(OR(UPPER(IFERROR(VLOOKUP($B29,'Base de datos'!$A$3:$K$24,11,FALSE),""))="NO",ISNUMBER(SEARCH("no sometida",IFERROR(VLOOKUP($B29,'Base de datos'!$A$3:$K$24,10,FALSE),""))),ISNUMBER(SEARCH("no fiscal",IFERROR(VLOOKUP($B29,'Base de datos'!$A$3:$K$24,10,FALSE),"")))),"",IFERROR(IF(OR(ISNUMBER(SEARCH("Hach",$B29)),ISNUMBER(SEARCH("Ketamina",$B29))),IF(VLOOKUP($B29,'Base de datos'!$A$3:$K$24,6,FALSE)="","",$E29*VLOOKUP($B29,'Base de datos'!$A$3:$K$24,6,FALSE)),IF(AND(IFERROR(VLOOKUP($B29,'Base de datos'!$A$3:$K$24,9,FALSE),"")&lt;&gt;"",IFERROR(VLOOKUP($B29,'Base de datos'!$A$3:$K$24,9,FALSE),"")&lt;&gt;0),"",IF(VLOOKUP($B29,'Base de datos'!$A$3:$K$24,6,FALSE)="","",$N29*VLOOKUP($B29,'Base de datos'!$A$3:$K$24,6,FALSE)))),"")))</f>
        <v/>
      </c>
      <c r="H29" s="18" t="str">
        <f>IF($B29="","",IF(OR(UPPER(IFERROR(VLOOKUP($B29,'Base de datos'!$A$3:$K$24,11,FALSE),""))="NO",ISNUMBER(SEARCH("no sometida",IFERROR(VLOOKUP($B29,'Base de datos'!$A$3:$K$24,10,FALSE),""))),ISNUMBER(SEARCH("no fiscal",IFERROR(VLOOKUP($B29,'Base de datos'!$A$3:$K$24,10,FALSE),"")))),"",IF(OR(ISNUMBER(SEARCH("Hach",$B29)),ISNUMBER(SEARCH("Ketamina",$B29))),"",IF(AND(IFERROR(VLOOKUP($B29,'Base de datos'!$A$3:$K$24,9,FALSE),"")&lt;&gt;"",IFERROR(VLOOKUP($B29,'Base de datos'!$A$3:$K$24,9,FALSE),"")&lt;&gt;0),$E29*IFERROR(VLOOKUP($B29,'Base de datos'!$A$3:$K$24,9,FALSE),""),IFERROR($O29*VLOOKUP($B29,'Base de datos'!$A$3:$K$24,4,FALSE),"")))))</f>
        <v/>
      </c>
      <c r="I29" s="16" t="str">
        <f>IFERROR(VLOOKUP($B29,'Base de datos'!$A$3:$K$24,7,FALSE),"")</f>
        <v/>
      </c>
      <c r="J29" s="19" t="str">
        <f>IFERROR(VLOOKUP($B29,'Base de datos'!$A$3:$K$24,10,FALSE),"")</f>
        <v/>
      </c>
      <c r="K29" s="17"/>
      <c r="L29" s="15"/>
      <c r="M29" s="17" t="str">
        <f>IF(OR(OR(UPPER(IFERROR(VLOOKUP($B29,'Base de datos'!$A$3:$K$24,11,FALSE),""))="NO",ISNUMBER(SEARCH("no sometida",IFERROR(VLOOKUP($B29,'Base de datos'!$A$3:$K$24,10,FALSE),""))),ISNUMBER(SEARCH("no fiscal",IFERROR(VLOOKUP($B29,'Base de datos'!$A$3:$K$24,10,FALSE),"")))),OR(ISNUMBER(SEARCH("Hach",$B29)),ISNUMBER(SEARCH("Ketamina",$B29))),AND(IFERROR(VLOOKUP($B29,'Base de datos'!$A$3:$K$24,9,FALSE),"")&lt;&gt;"",IFERROR(VLOOKUP($B29,'Base de datos'!$A$3:$K$24,9,FALSE),"")&lt;&gt;0)),"",IFERROR($E29*$C29/$I29,""))</f>
        <v/>
      </c>
      <c r="N29" s="17" t="str">
        <f>IF(OR(OR(UPPER(IFERROR(VLOOKUP($B29,'Base de datos'!$A$3:$K$24,11,FALSE),""))="NO",ISNUMBER(SEARCH("no sometida",IFERROR(VLOOKUP($B29,'Base de datos'!$A$3:$K$24,10,FALSE),""))),ISNUMBER(SEARCH("no fiscal",IFERROR(VLOOKUP($B29,'Base de datos'!$A$3:$K$24,10,FALSE),"")))),OR(ISNUMBER(SEARCH("Hach",$B29)),ISNUMBER(SEARCH("Ketamina",$B29))),AND(IFERROR(VLOOKUP($B29,'Base de datos'!$A$3:$K$24,9,FALSE),"")&lt;&gt;"",IFERROR(VLOOKUP($B29,'Base de datos'!$A$3:$K$24,9,FALSE),"")&lt;&gt;0)),"",IFERROR($E29*$C29/IFERROR(VLOOKUP($B29,'Base de datos'!$A$3:$K$24,5,FALSE),0),""))</f>
        <v/>
      </c>
      <c r="O29" s="17" t="str">
        <f>IF(OR(OR(UPPER(IFERROR(VLOOKUP($B29,'Base de datos'!$A$3:$K$24,11,FALSE),""))="NO",ISNUMBER(SEARCH("no sometida",IFERROR(VLOOKUP($B29,'Base de datos'!$A$3:$K$24,10,FALSE),""))),ISNUMBER(SEARCH("no fiscal",IFERROR(VLOOKUP($B29,'Base de datos'!$A$3:$K$24,10,FALSE),"")))),OR(ISNUMBER(SEARCH("Hach",$B29)),ISNUMBER(SEARCH("Ketamina",$B29))),AND(IFERROR(VLOOKUP($B29,'Base de datos'!$A$3:$K$24,9,FALSE),"")&lt;&gt;"",IFERROR(VLOOKUP($B29,'Base de datos'!$A$3:$K$24,9,FALSE),"")&lt;&gt;0)),"",IFERROR((($E29*$C29/IFERROR(VLOOKUP($B29,'Base de datos'!$A$3:$K$24,3,FALSE),0))*1000)/IFERROR(VLOOKUP($B29,'Base de datos'!$A$3:$K$24,2,FALSE),0),""))</f>
        <v/>
      </c>
    </row>
    <row r="30" spans="1:15" x14ac:dyDescent="0.25">
      <c r="A30" s="15"/>
      <c r="B30" s="15"/>
      <c r="C30" s="16" t="str">
        <f>IFERROR(VLOOKUP($B30,'Base de datos'!$A$3:$K$24,3,FALSE),"")</f>
        <v/>
      </c>
      <c r="D30" s="15" t="str">
        <f t="shared" si="0"/>
        <v/>
      </c>
      <c r="E30" s="17"/>
      <c r="F30" s="18" t="str">
        <f>IF($B30="","",IF(OR(UPPER(IFERROR(VLOOKUP($B30,'Base de datos'!$A$3:$K$24,11,FALSE),""))="NO",ISNUMBER(SEARCH("no sometida",IFERROR(VLOOKUP($B30,'Base de datos'!$A$3:$K$24,10,FALSE),""))),ISNUMBER(SEARCH("no fiscal",IFERROR(VLOOKUP($B30,'Base de datos'!$A$3:$K$24,10,FALSE),"")))),"",IF(OR(OR(ISNUMBER(SEARCH("Hach",$B30)),ISNUMBER(SEARCH("Ketamina",$B30))),AND(IFERROR(VLOOKUP($B30,'Base de datos'!$A$3:$K$24,9,FALSE),"")&lt;&gt;"",IFERROR(VLOOKUP($B30,'Base de datos'!$A$3:$K$24,9,FALSE),"")&lt;&gt;0)),"",IFERROR($M30*VLOOKUP($B30,'Base de datos'!$A$3:$K$24,8,FALSE)/1000,""))))</f>
        <v/>
      </c>
      <c r="G30" s="18" t="str">
        <f>IF($B30="","",IF(OR(UPPER(IFERROR(VLOOKUP($B30,'Base de datos'!$A$3:$K$24,11,FALSE),""))="NO",ISNUMBER(SEARCH("no sometida",IFERROR(VLOOKUP($B30,'Base de datos'!$A$3:$K$24,10,FALSE),""))),ISNUMBER(SEARCH("no fiscal",IFERROR(VLOOKUP($B30,'Base de datos'!$A$3:$K$24,10,FALSE),"")))),"",IFERROR(IF(OR(ISNUMBER(SEARCH("Hach",$B30)),ISNUMBER(SEARCH("Ketamina",$B30))),IF(VLOOKUP($B30,'Base de datos'!$A$3:$K$24,6,FALSE)="","",$E30*VLOOKUP($B30,'Base de datos'!$A$3:$K$24,6,FALSE)),IF(AND(IFERROR(VLOOKUP($B30,'Base de datos'!$A$3:$K$24,9,FALSE),"")&lt;&gt;"",IFERROR(VLOOKUP($B30,'Base de datos'!$A$3:$K$24,9,FALSE),"")&lt;&gt;0),"",IF(VLOOKUP($B30,'Base de datos'!$A$3:$K$24,6,FALSE)="","",$N30*VLOOKUP($B30,'Base de datos'!$A$3:$K$24,6,FALSE)))),"")))</f>
        <v/>
      </c>
      <c r="H30" s="18" t="str">
        <f>IF($B30="","",IF(OR(UPPER(IFERROR(VLOOKUP($B30,'Base de datos'!$A$3:$K$24,11,FALSE),""))="NO",ISNUMBER(SEARCH("no sometida",IFERROR(VLOOKUP($B30,'Base de datos'!$A$3:$K$24,10,FALSE),""))),ISNUMBER(SEARCH("no fiscal",IFERROR(VLOOKUP($B30,'Base de datos'!$A$3:$K$24,10,FALSE),"")))),"",IF(OR(ISNUMBER(SEARCH("Hach",$B30)),ISNUMBER(SEARCH("Ketamina",$B30))),"",IF(AND(IFERROR(VLOOKUP($B30,'Base de datos'!$A$3:$K$24,9,FALSE),"")&lt;&gt;"",IFERROR(VLOOKUP($B30,'Base de datos'!$A$3:$K$24,9,FALSE),"")&lt;&gt;0),$E30*IFERROR(VLOOKUP($B30,'Base de datos'!$A$3:$K$24,9,FALSE),""),IFERROR($O30*VLOOKUP($B30,'Base de datos'!$A$3:$K$24,4,FALSE),"")))))</f>
        <v/>
      </c>
      <c r="I30" s="16" t="str">
        <f>IFERROR(VLOOKUP($B30,'Base de datos'!$A$3:$K$24,7,FALSE),"")</f>
        <v/>
      </c>
      <c r="J30" s="19" t="str">
        <f>IFERROR(VLOOKUP($B30,'Base de datos'!$A$3:$K$24,10,FALSE),"")</f>
        <v/>
      </c>
      <c r="K30" s="17"/>
      <c r="L30" s="15"/>
      <c r="M30" s="17" t="str">
        <f>IF(OR(OR(UPPER(IFERROR(VLOOKUP($B30,'Base de datos'!$A$3:$K$24,11,FALSE),""))="NO",ISNUMBER(SEARCH("no sometida",IFERROR(VLOOKUP($B30,'Base de datos'!$A$3:$K$24,10,FALSE),""))),ISNUMBER(SEARCH("no fiscal",IFERROR(VLOOKUP($B30,'Base de datos'!$A$3:$K$24,10,FALSE),"")))),OR(ISNUMBER(SEARCH("Hach",$B30)),ISNUMBER(SEARCH("Ketamina",$B30))),AND(IFERROR(VLOOKUP($B30,'Base de datos'!$A$3:$K$24,9,FALSE),"")&lt;&gt;"",IFERROR(VLOOKUP($B30,'Base de datos'!$A$3:$K$24,9,FALSE),"")&lt;&gt;0)),"",IFERROR($E30*$C30/$I30,""))</f>
        <v/>
      </c>
      <c r="N30" s="17" t="str">
        <f>IF(OR(OR(UPPER(IFERROR(VLOOKUP($B30,'Base de datos'!$A$3:$K$24,11,FALSE),""))="NO",ISNUMBER(SEARCH("no sometida",IFERROR(VLOOKUP($B30,'Base de datos'!$A$3:$K$24,10,FALSE),""))),ISNUMBER(SEARCH("no fiscal",IFERROR(VLOOKUP($B30,'Base de datos'!$A$3:$K$24,10,FALSE),"")))),OR(ISNUMBER(SEARCH("Hach",$B30)),ISNUMBER(SEARCH("Ketamina",$B30))),AND(IFERROR(VLOOKUP($B30,'Base de datos'!$A$3:$K$24,9,FALSE),"")&lt;&gt;"",IFERROR(VLOOKUP($B30,'Base de datos'!$A$3:$K$24,9,FALSE),"")&lt;&gt;0)),"",IFERROR($E30*$C30/IFERROR(VLOOKUP($B30,'Base de datos'!$A$3:$K$24,5,FALSE),0),""))</f>
        <v/>
      </c>
      <c r="O30" s="17" t="str">
        <f>IF(OR(OR(UPPER(IFERROR(VLOOKUP($B30,'Base de datos'!$A$3:$K$24,11,FALSE),""))="NO",ISNUMBER(SEARCH("no sometida",IFERROR(VLOOKUP($B30,'Base de datos'!$A$3:$K$24,10,FALSE),""))),ISNUMBER(SEARCH("no fiscal",IFERROR(VLOOKUP($B30,'Base de datos'!$A$3:$K$24,10,FALSE),"")))),OR(ISNUMBER(SEARCH("Hach",$B30)),ISNUMBER(SEARCH("Ketamina",$B30))),AND(IFERROR(VLOOKUP($B30,'Base de datos'!$A$3:$K$24,9,FALSE),"")&lt;&gt;"",IFERROR(VLOOKUP($B30,'Base de datos'!$A$3:$K$24,9,FALSE),"")&lt;&gt;0)),"",IFERROR((($E30*$C30/IFERROR(VLOOKUP($B30,'Base de datos'!$A$3:$K$24,3,FALSE),0))*1000)/IFERROR(VLOOKUP($B30,'Base de datos'!$A$3:$K$24,2,FALSE),0),""))</f>
        <v/>
      </c>
    </row>
    <row r="31" spans="1:15" x14ac:dyDescent="0.25">
      <c r="A31" s="15"/>
      <c r="B31" s="15"/>
      <c r="C31" s="16" t="str">
        <f>IFERROR(VLOOKUP($B31,'Base de datos'!$A$3:$K$24,3,FALSE),"")</f>
        <v/>
      </c>
      <c r="D31" s="15" t="str">
        <f t="shared" si="0"/>
        <v/>
      </c>
      <c r="E31" s="17"/>
      <c r="F31" s="18" t="str">
        <f>IF($B31="","",IF(OR(UPPER(IFERROR(VLOOKUP($B31,'Base de datos'!$A$3:$K$24,11,FALSE),""))="NO",ISNUMBER(SEARCH("no sometida",IFERROR(VLOOKUP($B31,'Base de datos'!$A$3:$K$24,10,FALSE),""))),ISNUMBER(SEARCH("no fiscal",IFERROR(VLOOKUP($B31,'Base de datos'!$A$3:$K$24,10,FALSE),"")))),"",IF(OR(OR(ISNUMBER(SEARCH("Hach",$B31)),ISNUMBER(SEARCH("Ketamina",$B31))),AND(IFERROR(VLOOKUP($B31,'Base de datos'!$A$3:$K$24,9,FALSE),"")&lt;&gt;"",IFERROR(VLOOKUP($B31,'Base de datos'!$A$3:$K$24,9,FALSE),"")&lt;&gt;0)),"",IFERROR($M31*VLOOKUP($B31,'Base de datos'!$A$3:$K$24,8,FALSE)/1000,""))))</f>
        <v/>
      </c>
      <c r="G31" s="18" t="str">
        <f>IF($B31="","",IF(OR(UPPER(IFERROR(VLOOKUP($B31,'Base de datos'!$A$3:$K$24,11,FALSE),""))="NO",ISNUMBER(SEARCH("no sometida",IFERROR(VLOOKUP($B31,'Base de datos'!$A$3:$K$24,10,FALSE),""))),ISNUMBER(SEARCH("no fiscal",IFERROR(VLOOKUP($B31,'Base de datos'!$A$3:$K$24,10,FALSE),"")))),"",IFERROR(IF(OR(ISNUMBER(SEARCH("Hach",$B31)),ISNUMBER(SEARCH("Ketamina",$B31))),IF(VLOOKUP($B31,'Base de datos'!$A$3:$K$24,6,FALSE)="","",$E31*VLOOKUP($B31,'Base de datos'!$A$3:$K$24,6,FALSE)),IF(AND(IFERROR(VLOOKUP($B31,'Base de datos'!$A$3:$K$24,9,FALSE),"")&lt;&gt;"",IFERROR(VLOOKUP($B31,'Base de datos'!$A$3:$K$24,9,FALSE),"")&lt;&gt;0),"",IF(VLOOKUP($B31,'Base de datos'!$A$3:$K$24,6,FALSE)="","",$N31*VLOOKUP($B31,'Base de datos'!$A$3:$K$24,6,FALSE)))),"")))</f>
        <v/>
      </c>
      <c r="H31" s="18" t="str">
        <f>IF($B31="","",IF(OR(UPPER(IFERROR(VLOOKUP($B31,'Base de datos'!$A$3:$K$24,11,FALSE),""))="NO",ISNUMBER(SEARCH("no sometida",IFERROR(VLOOKUP($B31,'Base de datos'!$A$3:$K$24,10,FALSE),""))),ISNUMBER(SEARCH("no fiscal",IFERROR(VLOOKUP($B31,'Base de datos'!$A$3:$K$24,10,FALSE),"")))),"",IF(OR(ISNUMBER(SEARCH("Hach",$B31)),ISNUMBER(SEARCH("Ketamina",$B31))),"",IF(AND(IFERROR(VLOOKUP($B31,'Base de datos'!$A$3:$K$24,9,FALSE),"")&lt;&gt;"",IFERROR(VLOOKUP($B31,'Base de datos'!$A$3:$K$24,9,FALSE),"")&lt;&gt;0),$E31*IFERROR(VLOOKUP($B31,'Base de datos'!$A$3:$K$24,9,FALSE),""),IFERROR($O31*VLOOKUP($B31,'Base de datos'!$A$3:$K$24,4,FALSE),"")))))</f>
        <v/>
      </c>
      <c r="I31" s="16" t="str">
        <f>IFERROR(VLOOKUP($B31,'Base de datos'!$A$3:$K$24,7,FALSE),"")</f>
        <v/>
      </c>
      <c r="J31" s="19" t="str">
        <f>IFERROR(VLOOKUP($B31,'Base de datos'!$A$3:$K$24,10,FALSE),"")</f>
        <v/>
      </c>
      <c r="K31" s="17"/>
      <c r="L31" s="15"/>
      <c r="M31" s="17" t="str">
        <f>IF(OR(OR(UPPER(IFERROR(VLOOKUP($B31,'Base de datos'!$A$3:$K$24,11,FALSE),""))="NO",ISNUMBER(SEARCH("no sometida",IFERROR(VLOOKUP($B31,'Base de datos'!$A$3:$K$24,10,FALSE),""))),ISNUMBER(SEARCH("no fiscal",IFERROR(VLOOKUP($B31,'Base de datos'!$A$3:$K$24,10,FALSE),"")))),OR(ISNUMBER(SEARCH("Hach",$B31)),ISNUMBER(SEARCH("Ketamina",$B31))),AND(IFERROR(VLOOKUP($B31,'Base de datos'!$A$3:$K$24,9,FALSE),"")&lt;&gt;"",IFERROR(VLOOKUP($B31,'Base de datos'!$A$3:$K$24,9,FALSE),"")&lt;&gt;0)),"",IFERROR($E31*$C31/$I31,""))</f>
        <v/>
      </c>
      <c r="N31" s="17" t="str">
        <f>IF(OR(OR(UPPER(IFERROR(VLOOKUP($B31,'Base de datos'!$A$3:$K$24,11,FALSE),""))="NO",ISNUMBER(SEARCH("no sometida",IFERROR(VLOOKUP($B31,'Base de datos'!$A$3:$K$24,10,FALSE),""))),ISNUMBER(SEARCH("no fiscal",IFERROR(VLOOKUP($B31,'Base de datos'!$A$3:$K$24,10,FALSE),"")))),OR(ISNUMBER(SEARCH("Hach",$B31)),ISNUMBER(SEARCH("Ketamina",$B31))),AND(IFERROR(VLOOKUP($B31,'Base de datos'!$A$3:$K$24,9,FALSE),"")&lt;&gt;"",IFERROR(VLOOKUP($B31,'Base de datos'!$A$3:$K$24,9,FALSE),"")&lt;&gt;0)),"",IFERROR($E31*$C31/IFERROR(VLOOKUP($B31,'Base de datos'!$A$3:$K$24,5,FALSE),0),""))</f>
        <v/>
      </c>
      <c r="O31" s="17" t="str">
        <f>IF(OR(OR(UPPER(IFERROR(VLOOKUP($B31,'Base de datos'!$A$3:$K$24,11,FALSE),""))="NO",ISNUMBER(SEARCH("no sometida",IFERROR(VLOOKUP($B31,'Base de datos'!$A$3:$K$24,10,FALSE),""))),ISNUMBER(SEARCH("no fiscal",IFERROR(VLOOKUP($B31,'Base de datos'!$A$3:$K$24,10,FALSE),"")))),OR(ISNUMBER(SEARCH("Hach",$B31)),ISNUMBER(SEARCH("Ketamina",$B31))),AND(IFERROR(VLOOKUP($B31,'Base de datos'!$A$3:$K$24,9,FALSE),"")&lt;&gt;"",IFERROR(VLOOKUP($B31,'Base de datos'!$A$3:$K$24,9,FALSE),"")&lt;&gt;0)),"",IFERROR((($E31*$C31/IFERROR(VLOOKUP($B31,'Base de datos'!$A$3:$K$24,3,FALSE),0))*1000)/IFERROR(VLOOKUP($B31,'Base de datos'!$A$3:$K$24,2,FALSE),0),""))</f>
        <v/>
      </c>
    </row>
    <row r="32" spans="1:15" x14ac:dyDescent="0.25">
      <c r="A32" s="4"/>
      <c r="B32" s="4"/>
      <c r="C32" s="5" t="str">
        <f>IFERROR(VLOOKUP($B32,'Base de datos'!$A$3:$K$24,3,FALSE),"")</f>
        <v/>
      </c>
      <c r="D32" s="4" t="str">
        <f t="shared" si="0"/>
        <v/>
      </c>
      <c r="E32" s="6"/>
      <c r="F32" s="7" t="str">
        <f>IF($B32="","",IF(OR(UPPER(IFERROR(VLOOKUP($B32,'Base de datos'!$A$3:$K$24,11,FALSE),""))="NO",ISNUMBER(SEARCH("no sometida",IFERROR(VLOOKUP($B32,'Base de datos'!$A$3:$K$24,10,FALSE),""))),ISNUMBER(SEARCH("no fiscal",IFERROR(VLOOKUP($B32,'Base de datos'!$A$3:$K$24,10,FALSE),"")))),"",IF(OR(OR(ISNUMBER(SEARCH("Hach",$B32)),ISNUMBER(SEARCH("Ketamina",$B32))),AND(IFERROR(VLOOKUP($B32,'Base de datos'!$A$3:$K$24,9,FALSE),"")&lt;&gt;"",IFERROR(VLOOKUP($B32,'Base de datos'!$A$3:$K$24,9,FALSE),"")&lt;&gt;0)),"",IFERROR($M32*VLOOKUP($B32,'Base de datos'!$A$3:$K$24,8,FALSE)/1000,""))))</f>
        <v/>
      </c>
      <c r="G32" s="7" t="str">
        <f>IF($B32="","",IF(OR(UPPER(IFERROR(VLOOKUP($B32,'Base de datos'!$A$3:$K$24,11,FALSE),""))="NO",ISNUMBER(SEARCH("no sometida",IFERROR(VLOOKUP($B32,'Base de datos'!$A$3:$K$24,10,FALSE),""))),ISNUMBER(SEARCH("no fiscal",IFERROR(VLOOKUP($B32,'Base de datos'!$A$3:$K$24,10,FALSE),"")))),"",IFERROR(IF(OR(ISNUMBER(SEARCH("Hach",$B32)),ISNUMBER(SEARCH("Ketamina",$B32))),IF(VLOOKUP($B32,'Base de datos'!$A$3:$K$24,6,FALSE)="","",$E32*VLOOKUP($B32,'Base de datos'!$A$3:$K$24,6,FALSE)),IF(AND(IFERROR(VLOOKUP($B32,'Base de datos'!$A$3:$K$24,9,FALSE),"")&lt;&gt;"",IFERROR(VLOOKUP($B32,'Base de datos'!$A$3:$K$24,9,FALSE),"")&lt;&gt;0),"",IF(VLOOKUP($B32,'Base de datos'!$A$3:$K$24,6,FALSE)="","",$N32*VLOOKUP($B32,'Base de datos'!$A$3:$K$24,6,FALSE)))),"")))</f>
        <v/>
      </c>
      <c r="H32" s="7" t="str">
        <f>IF($B32="","",IF(OR(UPPER(IFERROR(VLOOKUP($B32,'Base de datos'!$A$3:$K$24,11,FALSE),""))="NO",ISNUMBER(SEARCH("no sometida",IFERROR(VLOOKUP($B32,'Base de datos'!$A$3:$K$24,10,FALSE),""))),ISNUMBER(SEARCH("no fiscal",IFERROR(VLOOKUP($B32,'Base de datos'!$A$3:$K$24,10,FALSE),"")))),"",IF(OR(ISNUMBER(SEARCH("Hach",$B32)),ISNUMBER(SEARCH("Ketamina",$B32))),"",IF(AND(IFERROR(VLOOKUP($B32,'Base de datos'!$A$3:$K$24,9,FALSE),"")&lt;&gt;"",IFERROR(VLOOKUP($B32,'Base de datos'!$A$3:$K$24,9,FALSE),"")&lt;&gt;0),$E32*IFERROR(VLOOKUP($B32,'Base de datos'!$A$3:$K$24,9,FALSE),""),IFERROR($O32*VLOOKUP($B32,'Base de datos'!$A$3:$K$24,4,FALSE),"")))))</f>
        <v/>
      </c>
      <c r="I32" s="5" t="str">
        <f>IFERROR(VLOOKUP($B32,'Base de datos'!$A$3:$K$24,7,FALSE),"")</f>
        <v/>
      </c>
      <c r="J32" s="13" t="str">
        <f>IFERROR(VLOOKUP($B32,'Base de datos'!$A$3:$K$24,10,FALSE),"")</f>
        <v/>
      </c>
      <c r="K32" s="6"/>
      <c r="L32" s="4"/>
      <c r="M32" s="6" t="str">
        <f>IF(OR(OR(UPPER(IFERROR(VLOOKUP($B32,'Base de datos'!$A$3:$K$24,11,FALSE),""))="NO",ISNUMBER(SEARCH("no sometida",IFERROR(VLOOKUP($B32,'Base de datos'!$A$3:$K$24,10,FALSE),""))),ISNUMBER(SEARCH("no fiscal",IFERROR(VLOOKUP($B32,'Base de datos'!$A$3:$K$24,10,FALSE),"")))),OR(ISNUMBER(SEARCH("Hach",$B32)),ISNUMBER(SEARCH("Ketamina",$B32))),AND(IFERROR(VLOOKUP($B32,'Base de datos'!$A$3:$K$24,9,FALSE),"")&lt;&gt;"",IFERROR(VLOOKUP($B32,'Base de datos'!$A$3:$K$24,9,FALSE),"")&lt;&gt;0)),"",IFERROR($E32*$C32/$I32,""))</f>
        <v/>
      </c>
      <c r="N32" s="6" t="str">
        <f>IF(OR(OR(UPPER(IFERROR(VLOOKUP($B32,'Base de datos'!$A$3:$K$24,11,FALSE),""))="NO",ISNUMBER(SEARCH("no sometida",IFERROR(VLOOKUP($B32,'Base de datos'!$A$3:$K$24,10,FALSE),""))),ISNUMBER(SEARCH("no fiscal",IFERROR(VLOOKUP($B32,'Base de datos'!$A$3:$K$24,10,FALSE),"")))),OR(ISNUMBER(SEARCH("Hach",$B32)),ISNUMBER(SEARCH("Ketamina",$B32))),AND(IFERROR(VLOOKUP($B32,'Base de datos'!$A$3:$K$24,9,FALSE),"")&lt;&gt;"",IFERROR(VLOOKUP($B32,'Base de datos'!$A$3:$K$24,9,FALSE),"")&lt;&gt;0)),"",IFERROR($E32*$C32/IFERROR(VLOOKUP($B32,'Base de datos'!$A$3:$K$24,5,FALSE),0),""))</f>
        <v/>
      </c>
      <c r="O32" s="6" t="str">
        <f>IF(OR(OR(UPPER(IFERROR(VLOOKUP($B32,'Base de datos'!$A$3:$K$24,11,FALSE),""))="NO",ISNUMBER(SEARCH("no sometida",IFERROR(VLOOKUP($B32,'Base de datos'!$A$3:$K$24,10,FALSE),""))),ISNUMBER(SEARCH("no fiscal",IFERROR(VLOOKUP($B32,'Base de datos'!$A$3:$K$24,10,FALSE),"")))),OR(ISNUMBER(SEARCH("Hach",$B32)),ISNUMBER(SEARCH("Ketamina",$B32))),AND(IFERROR(VLOOKUP($B32,'Base de datos'!$A$3:$K$24,9,FALSE),"")&lt;&gt;"",IFERROR(VLOOKUP($B32,'Base de datos'!$A$3:$K$24,9,FALSE),"")&lt;&gt;0)),"",IFERROR((($E32*$C32/IFERROR(VLOOKUP($B32,'Base de datos'!$A$3:$K$24,3,FALSE),0))*1000)/IFERROR(VLOOKUP($B32,'Base de datos'!$A$3:$K$24,2,FALSE),0),""))</f>
        <v/>
      </c>
    </row>
    <row r="33" spans="1:15" x14ac:dyDescent="0.25">
      <c r="A33" s="4"/>
      <c r="B33" s="4"/>
      <c r="C33" s="5" t="str">
        <f>IFERROR(VLOOKUP($B33,'Base de datos'!$A$3:$K$24,3,FALSE),"")</f>
        <v/>
      </c>
      <c r="D33" s="4" t="str">
        <f t="shared" si="0"/>
        <v/>
      </c>
      <c r="E33" s="6"/>
      <c r="F33" s="7" t="str">
        <f>IF($B33="","",IF(OR(UPPER(IFERROR(VLOOKUP($B33,'Base de datos'!$A$3:$K$24,11,FALSE),""))="NO",ISNUMBER(SEARCH("no sometida",IFERROR(VLOOKUP($B33,'Base de datos'!$A$3:$K$24,10,FALSE),""))),ISNUMBER(SEARCH("no fiscal",IFERROR(VLOOKUP($B33,'Base de datos'!$A$3:$K$24,10,FALSE),"")))),"",IF(OR(OR(ISNUMBER(SEARCH("Hach",$B33)),ISNUMBER(SEARCH("Ketamina",$B33))),AND(IFERROR(VLOOKUP($B33,'Base de datos'!$A$3:$K$24,9,FALSE),"")&lt;&gt;"",IFERROR(VLOOKUP($B33,'Base de datos'!$A$3:$K$24,9,FALSE),"")&lt;&gt;0)),"",IFERROR($M33*VLOOKUP($B33,'Base de datos'!$A$3:$K$24,8,FALSE)/1000,""))))</f>
        <v/>
      </c>
      <c r="G33" s="7" t="str">
        <f>IF($B33="","",IF(OR(UPPER(IFERROR(VLOOKUP($B33,'Base de datos'!$A$3:$K$24,11,FALSE),""))="NO",ISNUMBER(SEARCH("no sometida",IFERROR(VLOOKUP($B33,'Base de datos'!$A$3:$K$24,10,FALSE),""))),ISNUMBER(SEARCH("no fiscal",IFERROR(VLOOKUP($B33,'Base de datos'!$A$3:$K$24,10,FALSE),"")))),"",IFERROR(IF(OR(ISNUMBER(SEARCH("Hach",$B33)),ISNUMBER(SEARCH("Ketamina",$B33))),IF(VLOOKUP($B33,'Base de datos'!$A$3:$K$24,6,FALSE)="","",$E33*VLOOKUP($B33,'Base de datos'!$A$3:$K$24,6,FALSE)),IF(AND(IFERROR(VLOOKUP($B33,'Base de datos'!$A$3:$K$24,9,FALSE),"")&lt;&gt;"",IFERROR(VLOOKUP($B33,'Base de datos'!$A$3:$K$24,9,FALSE),"")&lt;&gt;0),"",IF(VLOOKUP($B33,'Base de datos'!$A$3:$K$24,6,FALSE)="","",$N33*VLOOKUP($B33,'Base de datos'!$A$3:$K$24,6,FALSE)))),"")))</f>
        <v/>
      </c>
      <c r="H33" s="7" t="str">
        <f>IF($B33="","",IF(OR(UPPER(IFERROR(VLOOKUP($B33,'Base de datos'!$A$3:$K$24,11,FALSE),""))="NO",ISNUMBER(SEARCH("no sometida",IFERROR(VLOOKUP($B33,'Base de datos'!$A$3:$K$24,10,FALSE),""))),ISNUMBER(SEARCH("no fiscal",IFERROR(VLOOKUP($B33,'Base de datos'!$A$3:$K$24,10,FALSE),"")))),"",IF(OR(ISNUMBER(SEARCH("Hach",$B33)),ISNUMBER(SEARCH("Ketamina",$B33))),"",IF(AND(IFERROR(VLOOKUP($B33,'Base de datos'!$A$3:$K$24,9,FALSE),"")&lt;&gt;"",IFERROR(VLOOKUP($B33,'Base de datos'!$A$3:$K$24,9,FALSE),"")&lt;&gt;0),$E33*IFERROR(VLOOKUP($B33,'Base de datos'!$A$3:$K$24,9,FALSE),""),IFERROR($O33*VLOOKUP($B33,'Base de datos'!$A$3:$K$24,4,FALSE),"")))))</f>
        <v/>
      </c>
      <c r="I33" s="5" t="str">
        <f>IFERROR(VLOOKUP($B33,'Base de datos'!$A$3:$K$24,7,FALSE),"")</f>
        <v/>
      </c>
      <c r="J33" s="13" t="str">
        <f>IFERROR(VLOOKUP($B33,'Base de datos'!$A$3:$K$24,10,FALSE),"")</f>
        <v/>
      </c>
      <c r="K33" s="6"/>
      <c r="L33" s="4"/>
      <c r="M33" s="6" t="str">
        <f>IF(OR(OR(UPPER(IFERROR(VLOOKUP($B33,'Base de datos'!$A$3:$K$24,11,FALSE),""))="NO",ISNUMBER(SEARCH("no sometida",IFERROR(VLOOKUP($B33,'Base de datos'!$A$3:$K$24,10,FALSE),""))),ISNUMBER(SEARCH("no fiscal",IFERROR(VLOOKUP($B33,'Base de datos'!$A$3:$K$24,10,FALSE),"")))),OR(ISNUMBER(SEARCH("Hach",$B33)),ISNUMBER(SEARCH("Ketamina",$B33))),AND(IFERROR(VLOOKUP($B33,'Base de datos'!$A$3:$K$24,9,FALSE),"")&lt;&gt;"",IFERROR(VLOOKUP($B33,'Base de datos'!$A$3:$K$24,9,FALSE),"")&lt;&gt;0)),"",IFERROR($E33*$C33/$I33,""))</f>
        <v/>
      </c>
      <c r="N33" s="6" t="str">
        <f>IF(OR(OR(UPPER(IFERROR(VLOOKUP($B33,'Base de datos'!$A$3:$K$24,11,FALSE),""))="NO",ISNUMBER(SEARCH("no sometida",IFERROR(VLOOKUP($B33,'Base de datos'!$A$3:$K$24,10,FALSE),""))),ISNUMBER(SEARCH("no fiscal",IFERROR(VLOOKUP($B33,'Base de datos'!$A$3:$K$24,10,FALSE),"")))),OR(ISNUMBER(SEARCH("Hach",$B33)),ISNUMBER(SEARCH("Ketamina",$B33))),AND(IFERROR(VLOOKUP($B33,'Base de datos'!$A$3:$K$24,9,FALSE),"")&lt;&gt;"",IFERROR(VLOOKUP($B33,'Base de datos'!$A$3:$K$24,9,FALSE),"")&lt;&gt;0)),"",IFERROR($E33*$C33/IFERROR(VLOOKUP($B33,'Base de datos'!$A$3:$K$24,5,FALSE),0),""))</f>
        <v/>
      </c>
      <c r="O33" s="6" t="str">
        <f>IF(OR(OR(UPPER(IFERROR(VLOOKUP($B33,'Base de datos'!$A$3:$K$24,11,FALSE),""))="NO",ISNUMBER(SEARCH("no sometida",IFERROR(VLOOKUP($B33,'Base de datos'!$A$3:$K$24,10,FALSE),""))),ISNUMBER(SEARCH("no fiscal",IFERROR(VLOOKUP($B33,'Base de datos'!$A$3:$K$24,10,FALSE),"")))),OR(ISNUMBER(SEARCH("Hach",$B33)),ISNUMBER(SEARCH("Ketamina",$B33))),AND(IFERROR(VLOOKUP($B33,'Base de datos'!$A$3:$K$24,9,FALSE),"")&lt;&gt;"",IFERROR(VLOOKUP($B33,'Base de datos'!$A$3:$K$24,9,FALSE),"")&lt;&gt;0)),"",IFERROR((($E33*$C33/IFERROR(VLOOKUP($B33,'Base de datos'!$A$3:$K$24,3,FALSE),0))*1000)/IFERROR(VLOOKUP($B33,'Base de datos'!$A$3:$K$24,2,FALSE),0),""))</f>
        <v/>
      </c>
    </row>
    <row r="34" spans="1:15" x14ac:dyDescent="0.25">
      <c r="A34" s="4"/>
      <c r="B34" s="4"/>
      <c r="C34" s="5" t="str">
        <f>IFERROR(VLOOKUP($B34,'Base de datos'!$A$3:$K$24,3,FALSE),"")</f>
        <v/>
      </c>
      <c r="D34" s="4" t="str">
        <f t="shared" si="0"/>
        <v/>
      </c>
      <c r="E34" s="6"/>
      <c r="F34" s="7" t="str">
        <f>IF($B34="","",IF(OR(UPPER(IFERROR(VLOOKUP($B34,'Base de datos'!$A$3:$K$24,11,FALSE),""))="NO",ISNUMBER(SEARCH("no sometida",IFERROR(VLOOKUP($B34,'Base de datos'!$A$3:$K$24,10,FALSE),""))),ISNUMBER(SEARCH("no fiscal",IFERROR(VLOOKUP($B34,'Base de datos'!$A$3:$K$24,10,FALSE),"")))),"",IF(OR(OR(ISNUMBER(SEARCH("Hach",$B34)),ISNUMBER(SEARCH("Ketamina",$B34))),AND(IFERROR(VLOOKUP($B34,'Base de datos'!$A$3:$K$24,9,FALSE),"")&lt;&gt;"",IFERROR(VLOOKUP($B34,'Base de datos'!$A$3:$K$24,9,FALSE),"")&lt;&gt;0)),"",IFERROR($M34*VLOOKUP($B34,'Base de datos'!$A$3:$K$24,8,FALSE)/1000,""))))</f>
        <v/>
      </c>
      <c r="G34" s="7" t="str">
        <f>IF($B34="","",IF(OR(UPPER(IFERROR(VLOOKUP($B34,'Base de datos'!$A$3:$K$24,11,FALSE),""))="NO",ISNUMBER(SEARCH("no sometida",IFERROR(VLOOKUP($B34,'Base de datos'!$A$3:$K$24,10,FALSE),""))),ISNUMBER(SEARCH("no fiscal",IFERROR(VLOOKUP($B34,'Base de datos'!$A$3:$K$24,10,FALSE),"")))),"",IFERROR(IF(OR(ISNUMBER(SEARCH("Hach",$B34)),ISNUMBER(SEARCH("Ketamina",$B34))),IF(VLOOKUP($B34,'Base de datos'!$A$3:$K$24,6,FALSE)="","",$E34*VLOOKUP($B34,'Base de datos'!$A$3:$K$24,6,FALSE)),IF(AND(IFERROR(VLOOKUP($B34,'Base de datos'!$A$3:$K$24,9,FALSE),"")&lt;&gt;"",IFERROR(VLOOKUP($B34,'Base de datos'!$A$3:$K$24,9,FALSE),"")&lt;&gt;0),"",IF(VLOOKUP($B34,'Base de datos'!$A$3:$K$24,6,FALSE)="","",$N34*VLOOKUP($B34,'Base de datos'!$A$3:$K$24,6,FALSE)))),"")))</f>
        <v/>
      </c>
      <c r="H34" s="7" t="str">
        <f>IF($B34="","",IF(OR(UPPER(IFERROR(VLOOKUP($B34,'Base de datos'!$A$3:$K$24,11,FALSE),""))="NO",ISNUMBER(SEARCH("no sometida",IFERROR(VLOOKUP($B34,'Base de datos'!$A$3:$K$24,10,FALSE),""))),ISNUMBER(SEARCH("no fiscal",IFERROR(VLOOKUP($B34,'Base de datos'!$A$3:$K$24,10,FALSE),"")))),"",IF(OR(ISNUMBER(SEARCH("Hach",$B34)),ISNUMBER(SEARCH("Ketamina",$B34))),"",IF(AND(IFERROR(VLOOKUP($B34,'Base de datos'!$A$3:$K$24,9,FALSE),"")&lt;&gt;"",IFERROR(VLOOKUP($B34,'Base de datos'!$A$3:$K$24,9,FALSE),"")&lt;&gt;0),$E34*IFERROR(VLOOKUP($B34,'Base de datos'!$A$3:$K$24,9,FALSE),""),IFERROR($O34*VLOOKUP($B34,'Base de datos'!$A$3:$K$24,4,FALSE),"")))))</f>
        <v/>
      </c>
      <c r="I34" s="5" t="str">
        <f>IFERROR(VLOOKUP($B34,'Base de datos'!$A$3:$K$24,7,FALSE),"")</f>
        <v/>
      </c>
      <c r="J34" s="13" t="str">
        <f>IFERROR(VLOOKUP($B34,'Base de datos'!$A$3:$K$24,10,FALSE),"")</f>
        <v/>
      </c>
      <c r="K34" s="6"/>
      <c r="L34" s="4"/>
      <c r="M34" s="6" t="str">
        <f>IF(OR(OR(UPPER(IFERROR(VLOOKUP($B34,'Base de datos'!$A$3:$K$24,11,FALSE),""))="NO",ISNUMBER(SEARCH("no sometida",IFERROR(VLOOKUP($B34,'Base de datos'!$A$3:$K$24,10,FALSE),""))),ISNUMBER(SEARCH("no fiscal",IFERROR(VLOOKUP($B34,'Base de datos'!$A$3:$K$24,10,FALSE),"")))),OR(ISNUMBER(SEARCH("Hach",$B34)),ISNUMBER(SEARCH("Ketamina",$B34))),AND(IFERROR(VLOOKUP($B34,'Base de datos'!$A$3:$K$24,9,FALSE),"")&lt;&gt;"",IFERROR(VLOOKUP($B34,'Base de datos'!$A$3:$K$24,9,FALSE),"")&lt;&gt;0)),"",IFERROR($E34*$C34/$I34,""))</f>
        <v/>
      </c>
      <c r="N34" s="6" t="str">
        <f>IF(OR(OR(UPPER(IFERROR(VLOOKUP($B34,'Base de datos'!$A$3:$K$24,11,FALSE),""))="NO",ISNUMBER(SEARCH("no sometida",IFERROR(VLOOKUP($B34,'Base de datos'!$A$3:$K$24,10,FALSE),""))),ISNUMBER(SEARCH("no fiscal",IFERROR(VLOOKUP($B34,'Base de datos'!$A$3:$K$24,10,FALSE),"")))),OR(ISNUMBER(SEARCH("Hach",$B34)),ISNUMBER(SEARCH("Ketamina",$B34))),AND(IFERROR(VLOOKUP($B34,'Base de datos'!$A$3:$K$24,9,FALSE),"")&lt;&gt;"",IFERROR(VLOOKUP($B34,'Base de datos'!$A$3:$K$24,9,FALSE),"")&lt;&gt;0)),"",IFERROR($E34*$C34/IFERROR(VLOOKUP($B34,'Base de datos'!$A$3:$K$24,5,FALSE),0),""))</f>
        <v/>
      </c>
      <c r="O34" s="6" t="str">
        <f>IF(OR(OR(UPPER(IFERROR(VLOOKUP($B34,'Base de datos'!$A$3:$K$24,11,FALSE),""))="NO",ISNUMBER(SEARCH("no sometida",IFERROR(VLOOKUP($B34,'Base de datos'!$A$3:$K$24,10,FALSE),""))),ISNUMBER(SEARCH("no fiscal",IFERROR(VLOOKUP($B34,'Base de datos'!$A$3:$K$24,10,FALSE),"")))),OR(ISNUMBER(SEARCH("Hach",$B34)),ISNUMBER(SEARCH("Ketamina",$B34))),AND(IFERROR(VLOOKUP($B34,'Base de datos'!$A$3:$K$24,9,FALSE),"")&lt;&gt;"",IFERROR(VLOOKUP($B34,'Base de datos'!$A$3:$K$24,9,FALSE),"")&lt;&gt;0)),"",IFERROR((($E34*$C34/IFERROR(VLOOKUP($B34,'Base de datos'!$A$3:$K$24,3,FALSE),0))*1000)/IFERROR(VLOOKUP($B34,'Base de datos'!$A$3:$K$24,2,FALSE),0),""))</f>
        <v/>
      </c>
    </row>
    <row r="35" spans="1:15" x14ac:dyDescent="0.25">
      <c r="A35" s="4"/>
      <c r="B35" s="4"/>
      <c r="C35" s="5" t="str">
        <f>IFERROR(VLOOKUP($B35,'Base de datos'!$A$3:$K$24,3,FALSE),"")</f>
        <v/>
      </c>
      <c r="D35" s="4" t="str">
        <f t="shared" si="0"/>
        <v/>
      </c>
      <c r="E35" s="6"/>
      <c r="F35" s="7" t="str">
        <f>IF($B35="","",IF(OR(UPPER(IFERROR(VLOOKUP($B35,'Base de datos'!$A$3:$K$24,11,FALSE),""))="NO",ISNUMBER(SEARCH("no sometida",IFERROR(VLOOKUP($B35,'Base de datos'!$A$3:$K$24,10,FALSE),""))),ISNUMBER(SEARCH("no fiscal",IFERROR(VLOOKUP($B35,'Base de datos'!$A$3:$K$24,10,FALSE),"")))),"",IF(OR(OR(ISNUMBER(SEARCH("Hach",$B35)),ISNUMBER(SEARCH("Ketamina",$B35))),AND(IFERROR(VLOOKUP($B35,'Base de datos'!$A$3:$K$24,9,FALSE),"")&lt;&gt;"",IFERROR(VLOOKUP($B35,'Base de datos'!$A$3:$K$24,9,FALSE),"")&lt;&gt;0)),"",IFERROR($M35*VLOOKUP($B35,'Base de datos'!$A$3:$K$24,8,FALSE)/1000,""))))</f>
        <v/>
      </c>
      <c r="G35" s="7" t="str">
        <f>IF($B35="","",IF(OR(UPPER(IFERROR(VLOOKUP($B35,'Base de datos'!$A$3:$K$24,11,FALSE),""))="NO",ISNUMBER(SEARCH("no sometida",IFERROR(VLOOKUP($B35,'Base de datos'!$A$3:$K$24,10,FALSE),""))),ISNUMBER(SEARCH("no fiscal",IFERROR(VLOOKUP($B35,'Base de datos'!$A$3:$K$24,10,FALSE),"")))),"",IFERROR(IF(OR(ISNUMBER(SEARCH("Hach",$B35)),ISNUMBER(SEARCH("Ketamina",$B35))),IF(VLOOKUP($B35,'Base de datos'!$A$3:$K$24,6,FALSE)="","",$E35*VLOOKUP($B35,'Base de datos'!$A$3:$K$24,6,FALSE)),IF(AND(IFERROR(VLOOKUP($B35,'Base de datos'!$A$3:$K$24,9,FALSE),"")&lt;&gt;"",IFERROR(VLOOKUP($B35,'Base de datos'!$A$3:$K$24,9,FALSE),"")&lt;&gt;0),"",IF(VLOOKUP($B35,'Base de datos'!$A$3:$K$24,6,FALSE)="","",$N35*VLOOKUP($B35,'Base de datos'!$A$3:$K$24,6,FALSE)))),"")))</f>
        <v/>
      </c>
      <c r="H35" s="7" t="str">
        <f>IF($B35="","",IF(OR(UPPER(IFERROR(VLOOKUP($B35,'Base de datos'!$A$3:$K$24,11,FALSE),""))="NO",ISNUMBER(SEARCH("no sometida",IFERROR(VLOOKUP($B35,'Base de datos'!$A$3:$K$24,10,FALSE),""))),ISNUMBER(SEARCH("no fiscal",IFERROR(VLOOKUP($B35,'Base de datos'!$A$3:$K$24,10,FALSE),"")))),"",IF(OR(ISNUMBER(SEARCH("Hach",$B35)),ISNUMBER(SEARCH("Ketamina",$B35))),"",IF(AND(IFERROR(VLOOKUP($B35,'Base de datos'!$A$3:$K$24,9,FALSE),"")&lt;&gt;"",IFERROR(VLOOKUP($B35,'Base de datos'!$A$3:$K$24,9,FALSE),"")&lt;&gt;0),$E35*IFERROR(VLOOKUP($B35,'Base de datos'!$A$3:$K$24,9,FALSE),""),IFERROR($O35*VLOOKUP($B35,'Base de datos'!$A$3:$K$24,4,FALSE),"")))))</f>
        <v/>
      </c>
      <c r="I35" s="5" t="str">
        <f>IFERROR(VLOOKUP($B35,'Base de datos'!$A$3:$K$24,7,FALSE),"")</f>
        <v/>
      </c>
      <c r="J35" s="13" t="str">
        <f>IFERROR(VLOOKUP($B35,'Base de datos'!$A$3:$K$24,10,FALSE),"")</f>
        <v/>
      </c>
      <c r="K35" s="6"/>
      <c r="L35" s="4"/>
      <c r="M35" s="6" t="str">
        <f>IF(OR(OR(UPPER(IFERROR(VLOOKUP($B35,'Base de datos'!$A$3:$K$24,11,FALSE),""))="NO",ISNUMBER(SEARCH("no sometida",IFERROR(VLOOKUP($B35,'Base de datos'!$A$3:$K$24,10,FALSE),""))),ISNUMBER(SEARCH("no fiscal",IFERROR(VLOOKUP($B35,'Base de datos'!$A$3:$K$24,10,FALSE),"")))),OR(ISNUMBER(SEARCH("Hach",$B35)),ISNUMBER(SEARCH("Ketamina",$B35))),AND(IFERROR(VLOOKUP($B35,'Base de datos'!$A$3:$K$24,9,FALSE),"")&lt;&gt;"",IFERROR(VLOOKUP($B35,'Base de datos'!$A$3:$K$24,9,FALSE),"")&lt;&gt;0)),"",IFERROR($E35*$C35/$I35,""))</f>
        <v/>
      </c>
      <c r="N35" s="6" t="str">
        <f>IF(OR(OR(UPPER(IFERROR(VLOOKUP($B35,'Base de datos'!$A$3:$K$24,11,FALSE),""))="NO",ISNUMBER(SEARCH("no sometida",IFERROR(VLOOKUP($B35,'Base de datos'!$A$3:$K$24,10,FALSE),""))),ISNUMBER(SEARCH("no fiscal",IFERROR(VLOOKUP($B35,'Base de datos'!$A$3:$K$24,10,FALSE),"")))),OR(ISNUMBER(SEARCH("Hach",$B35)),ISNUMBER(SEARCH("Ketamina",$B35))),AND(IFERROR(VLOOKUP($B35,'Base de datos'!$A$3:$K$24,9,FALSE),"")&lt;&gt;"",IFERROR(VLOOKUP($B35,'Base de datos'!$A$3:$K$24,9,FALSE),"")&lt;&gt;0)),"",IFERROR($E35*$C35/IFERROR(VLOOKUP($B35,'Base de datos'!$A$3:$K$24,5,FALSE),0),""))</f>
        <v/>
      </c>
      <c r="O35" s="6" t="str">
        <f>IF(OR(OR(UPPER(IFERROR(VLOOKUP($B35,'Base de datos'!$A$3:$K$24,11,FALSE),""))="NO",ISNUMBER(SEARCH("no sometida",IFERROR(VLOOKUP($B35,'Base de datos'!$A$3:$K$24,10,FALSE),""))),ISNUMBER(SEARCH("no fiscal",IFERROR(VLOOKUP($B35,'Base de datos'!$A$3:$K$24,10,FALSE),"")))),OR(ISNUMBER(SEARCH("Hach",$B35)),ISNUMBER(SEARCH("Ketamina",$B35))),AND(IFERROR(VLOOKUP($B35,'Base de datos'!$A$3:$K$24,9,FALSE),"")&lt;&gt;"",IFERROR(VLOOKUP($B35,'Base de datos'!$A$3:$K$24,9,FALSE),"")&lt;&gt;0)),"",IFERROR((($E35*$C35/IFERROR(VLOOKUP($B35,'Base de datos'!$A$3:$K$24,3,FALSE),0))*1000)/IFERROR(VLOOKUP($B35,'Base de datos'!$A$3:$K$24,2,FALSE),0),""))</f>
        <v/>
      </c>
    </row>
    <row r="36" spans="1:15" x14ac:dyDescent="0.25">
      <c r="A36" s="4"/>
      <c r="B36" s="4"/>
      <c r="C36" s="5" t="str">
        <f>IFERROR(VLOOKUP($B36,'Base de datos'!$A$3:$K$24,3,FALSE),"")</f>
        <v/>
      </c>
      <c r="D36" s="4" t="str">
        <f t="shared" si="0"/>
        <v/>
      </c>
      <c r="E36" s="6"/>
      <c r="F36" s="7" t="str">
        <f>IF($B36="","",IF(OR(UPPER(IFERROR(VLOOKUP($B36,'Base de datos'!$A$3:$K$24,11,FALSE),""))="NO",ISNUMBER(SEARCH("no sometida",IFERROR(VLOOKUP($B36,'Base de datos'!$A$3:$K$24,10,FALSE),""))),ISNUMBER(SEARCH("no fiscal",IFERROR(VLOOKUP($B36,'Base de datos'!$A$3:$K$24,10,FALSE),"")))),"",IF(OR(OR(ISNUMBER(SEARCH("Hach",$B36)),ISNUMBER(SEARCH("Ketamina",$B36))),AND(IFERROR(VLOOKUP($B36,'Base de datos'!$A$3:$K$24,9,FALSE),"")&lt;&gt;"",IFERROR(VLOOKUP($B36,'Base de datos'!$A$3:$K$24,9,FALSE),"")&lt;&gt;0)),"",IFERROR($M36*VLOOKUP($B36,'Base de datos'!$A$3:$K$24,8,FALSE)/1000,""))))</f>
        <v/>
      </c>
      <c r="G36" s="7" t="str">
        <f>IF($B36="","",IF(OR(UPPER(IFERROR(VLOOKUP($B36,'Base de datos'!$A$3:$K$24,11,FALSE),""))="NO",ISNUMBER(SEARCH("no sometida",IFERROR(VLOOKUP($B36,'Base de datos'!$A$3:$K$24,10,FALSE),""))),ISNUMBER(SEARCH("no fiscal",IFERROR(VLOOKUP($B36,'Base de datos'!$A$3:$K$24,10,FALSE),"")))),"",IFERROR(IF(OR(ISNUMBER(SEARCH("Hach",$B36)),ISNUMBER(SEARCH("Ketamina",$B36))),IF(VLOOKUP($B36,'Base de datos'!$A$3:$K$24,6,FALSE)="","",$E36*VLOOKUP($B36,'Base de datos'!$A$3:$K$24,6,FALSE)),IF(AND(IFERROR(VLOOKUP($B36,'Base de datos'!$A$3:$K$24,9,FALSE),"")&lt;&gt;"",IFERROR(VLOOKUP($B36,'Base de datos'!$A$3:$K$24,9,FALSE),"")&lt;&gt;0),"",IF(VLOOKUP($B36,'Base de datos'!$A$3:$K$24,6,FALSE)="","",$N36*VLOOKUP($B36,'Base de datos'!$A$3:$K$24,6,FALSE)))),"")))</f>
        <v/>
      </c>
      <c r="H36" s="7" t="str">
        <f>IF($B36="","",IF(OR(UPPER(IFERROR(VLOOKUP($B36,'Base de datos'!$A$3:$K$24,11,FALSE),""))="NO",ISNUMBER(SEARCH("no sometida",IFERROR(VLOOKUP($B36,'Base de datos'!$A$3:$K$24,10,FALSE),""))),ISNUMBER(SEARCH("no fiscal",IFERROR(VLOOKUP($B36,'Base de datos'!$A$3:$K$24,10,FALSE),"")))),"",IF(OR(ISNUMBER(SEARCH("Hach",$B36)),ISNUMBER(SEARCH("Ketamina",$B36))),"",IF(AND(IFERROR(VLOOKUP($B36,'Base de datos'!$A$3:$K$24,9,FALSE),"")&lt;&gt;"",IFERROR(VLOOKUP($B36,'Base de datos'!$A$3:$K$24,9,FALSE),"")&lt;&gt;0),$E36*IFERROR(VLOOKUP($B36,'Base de datos'!$A$3:$K$24,9,FALSE),""),IFERROR($O36*VLOOKUP($B36,'Base de datos'!$A$3:$K$24,4,FALSE),"")))))</f>
        <v/>
      </c>
      <c r="I36" s="5" t="str">
        <f>IFERROR(VLOOKUP($B36,'Base de datos'!$A$3:$K$24,7,FALSE),"")</f>
        <v/>
      </c>
      <c r="J36" s="13" t="str">
        <f>IFERROR(VLOOKUP($B36,'Base de datos'!$A$3:$K$24,10,FALSE),"")</f>
        <v/>
      </c>
      <c r="K36" s="6"/>
      <c r="L36" s="4"/>
      <c r="M36" s="6" t="str">
        <f>IF(OR(OR(UPPER(IFERROR(VLOOKUP($B36,'Base de datos'!$A$3:$K$24,11,FALSE),""))="NO",ISNUMBER(SEARCH("no sometida",IFERROR(VLOOKUP($B36,'Base de datos'!$A$3:$K$24,10,FALSE),""))),ISNUMBER(SEARCH("no fiscal",IFERROR(VLOOKUP($B36,'Base de datos'!$A$3:$K$24,10,FALSE),"")))),OR(ISNUMBER(SEARCH("Hach",$B36)),ISNUMBER(SEARCH("Ketamina",$B36))),AND(IFERROR(VLOOKUP($B36,'Base de datos'!$A$3:$K$24,9,FALSE),"")&lt;&gt;"",IFERROR(VLOOKUP($B36,'Base de datos'!$A$3:$K$24,9,FALSE),"")&lt;&gt;0)),"",IFERROR($E36*$C36/$I36,""))</f>
        <v/>
      </c>
      <c r="N36" s="6" t="str">
        <f>IF(OR(OR(UPPER(IFERROR(VLOOKUP($B36,'Base de datos'!$A$3:$K$24,11,FALSE),""))="NO",ISNUMBER(SEARCH("no sometida",IFERROR(VLOOKUP($B36,'Base de datos'!$A$3:$K$24,10,FALSE),""))),ISNUMBER(SEARCH("no fiscal",IFERROR(VLOOKUP($B36,'Base de datos'!$A$3:$K$24,10,FALSE),"")))),OR(ISNUMBER(SEARCH("Hach",$B36)),ISNUMBER(SEARCH("Ketamina",$B36))),AND(IFERROR(VLOOKUP($B36,'Base de datos'!$A$3:$K$24,9,FALSE),"")&lt;&gt;"",IFERROR(VLOOKUP($B36,'Base de datos'!$A$3:$K$24,9,FALSE),"")&lt;&gt;0)),"",IFERROR($E36*$C36/IFERROR(VLOOKUP($B36,'Base de datos'!$A$3:$K$24,5,FALSE),0),""))</f>
        <v/>
      </c>
      <c r="O36" s="6" t="str">
        <f>IF(OR(OR(UPPER(IFERROR(VLOOKUP($B36,'Base de datos'!$A$3:$K$24,11,FALSE),""))="NO",ISNUMBER(SEARCH("no sometida",IFERROR(VLOOKUP($B36,'Base de datos'!$A$3:$K$24,10,FALSE),""))),ISNUMBER(SEARCH("no fiscal",IFERROR(VLOOKUP($B36,'Base de datos'!$A$3:$K$24,10,FALSE),"")))),OR(ISNUMBER(SEARCH("Hach",$B36)),ISNUMBER(SEARCH("Ketamina",$B36))),AND(IFERROR(VLOOKUP($B36,'Base de datos'!$A$3:$K$24,9,FALSE),"")&lt;&gt;"",IFERROR(VLOOKUP($B36,'Base de datos'!$A$3:$K$24,9,FALSE),"")&lt;&gt;0)),"",IFERROR((($E36*$C36/IFERROR(VLOOKUP($B36,'Base de datos'!$A$3:$K$24,3,FALSE),0))*1000)/IFERROR(VLOOKUP($B36,'Base de datos'!$A$3:$K$24,2,FALSE),0),""))</f>
        <v/>
      </c>
    </row>
    <row r="37" spans="1:15" x14ac:dyDescent="0.25">
      <c r="A37" s="4"/>
      <c r="B37" s="4"/>
      <c r="C37" s="5" t="str">
        <f>IFERROR(VLOOKUP($B37,'Base de datos'!$A$3:$K$24,3,FALSE),"")</f>
        <v/>
      </c>
      <c r="D37" s="4" t="str">
        <f t="shared" ref="D37:D68" si="1">IF($B37="","",$B37)</f>
        <v/>
      </c>
      <c r="E37" s="6"/>
      <c r="F37" s="7" t="str">
        <f>IF($B37="","",IF(OR(UPPER(IFERROR(VLOOKUP($B37,'Base de datos'!$A$3:$K$24,11,FALSE),""))="NO",ISNUMBER(SEARCH("no sometida",IFERROR(VLOOKUP($B37,'Base de datos'!$A$3:$K$24,10,FALSE),""))),ISNUMBER(SEARCH("no fiscal",IFERROR(VLOOKUP($B37,'Base de datos'!$A$3:$K$24,10,FALSE),"")))),"",IF(OR(OR(ISNUMBER(SEARCH("Hach",$B37)),ISNUMBER(SEARCH("Ketamina",$B37))),AND(IFERROR(VLOOKUP($B37,'Base de datos'!$A$3:$K$24,9,FALSE),"")&lt;&gt;"",IFERROR(VLOOKUP($B37,'Base de datos'!$A$3:$K$24,9,FALSE),"")&lt;&gt;0)),"",IFERROR($M37*VLOOKUP($B37,'Base de datos'!$A$3:$K$24,8,FALSE)/1000,""))))</f>
        <v/>
      </c>
      <c r="G37" s="7" t="str">
        <f>IF($B37="","",IF(OR(UPPER(IFERROR(VLOOKUP($B37,'Base de datos'!$A$3:$K$24,11,FALSE),""))="NO",ISNUMBER(SEARCH("no sometida",IFERROR(VLOOKUP($B37,'Base de datos'!$A$3:$K$24,10,FALSE),""))),ISNUMBER(SEARCH("no fiscal",IFERROR(VLOOKUP($B37,'Base de datos'!$A$3:$K$24,10,FALSE),"")))),"",IFERROR(IF(OR(ISNUMBER(SEARCH("Hach",$B37)),ISNUMBER(SEARCH("Ketamina",$B37))),IF(VLOOKUP($B37,'Base de datos'!$A$3:$K$24,6,FALSE)="","",$E37*VLOOKUP($B37,'Base de datos'!$A$3:$K$24,6,FALSE)),IF(AND(IFERROR(VLOOKUP($B37,'Base de datos'!$A$3:$K$24,9,FALSE),"")&lt;&gt;"",IFERROR(VLOOKUP($B37,'Base de datos'!$A$3:$K$24,9,FALSE),"")&lt;&gt;0),"",IF(VLOOKUP($B37,'Base de datos'!$A$3:$K$24,6,FALSE)="","",$N37*VLOOKUP($B37,'Base de datos'!$A$3:$K$24,6,FALSE)))),"")))</f>
        <v/>
      </c>
      <c r="H37" s="7" t="str">
        <f>IF($B37="","",IF(OR(UPPER(IFERROR(VLOOKUP($B37,'Base de datos'!$A$3:$K$24,11,FALSE),""))="NO",ISNUMBER(SEARCH("no sometida",IFERROR(VLOOKUP($B37,'Base de datos'!$A$3:$K$24,10,FALSE),""))),ISNUMBER(SEARCH("no fiscal",IFERROR(VLOOKUP($B37,'Base de datos'!$A$3:$K$24,10,FALSE),"")))),"",IF(OR(ISNUMBER(SEARCH("Hach",$B37)),ISNUMBER(SEARCH("Ketamina",$B37))),"",IF(AND(IFERROR(VLOOKUP($B37,'Base de datos'!$A$3:$K$24,9,FALSE),"")&lt;&gt;"",IFERROR(VLOOKUP($B37,'Base de datos'!$A$3:$K$24,9,FALSE),"")&lt;&gt;0),$E37*IFERROR(VLOOKUP($B37,'Base de datos'!$A$3:$K$24,9,FALSE),""),IFERROR($O37*VLOOKUP($B37,'Base de datos'!$A$3:$K$24,4,FALSE),"")))))</f>
        <v/>
      </c>
      <c r="I37" s="5" t="str">
        <f>IFERROR(VLOOKUP($B37,'Base de datos'!$A$3:$K$24,7,FALSE),"")</f>
        <v/>
      </c>
      <c r="J37" s="13" t="str">
        <f>IFERROR(VLOOKUP($B37,'Base de datos'!$A$3:$K$24,10,FALSE),"")</f>
        <v/>
      </c>
      <c r="K37" s="6"/>
      <c r="L37" s="4"/>
      <c r="M37" s="6" t="str">
        <f>IF(OR(OR(UPPER(IFERROR(VLOOKUP($B37,'Base de datos'!$A$3:$K$24,11,FALSE),""))="NO",ISNUMBER(SEARCH("no sometida",IFERROR(VLOOKUP($B37,'Base de datos'!$A$3:$K$24,10,FALSE),""))),ISNUMBER(SEARCH("no fiscal",IFERROR(VLOOKUP($B37,'Base de datos'!$A$3:$K$24,10,FALSE),"")))),OR(ISNUMBER(SEARCH("Hach",$B37)),ISNUMBER(SEARCH("Ketamina",$B37))),AND(IFERROR(VLOOKUP($B37,'Base de datos'!$A$3:$K$24,9,FALSE),"")&lt;&gt;"",IFERROR(VLOOKUP($B37,'Base de datos'!$A$3:$K$24,9,FALSE),"")&lt;&gt;0)),"",IFERROR($E37*$C37/$I37,""))</f>
        <v/>
      </c>
      <c r="N37" s="6" t="str">
        <f>IF(OR(OR(UPPER(IFERROR(VLOOKUP($B37,'Base de datos'!$A$3:$K$24,11,FALSE),""))="NO",ISNUMBER(SEARCH("no sometida",IFERROR(VLOOKUP($B37,'Base de datos'!$A$3:$K$24,10,FALSE),""))),ISNUMBER(SEARCH("no fiscal",IFERROR(VLOOKUP($B37,'Base de datos'!$A$3:$K$24,10,FALSE),"")))),OR(ISNUMBER(SEARCH("Hach",$B37)),ISNUMBER(SEARCH("Ketamina",$B37))),AND(IFERROR(VLOOKUP($B37,'Base de datos'!$A$3:$K$24,9,FALSE),"")&lt;&gt;"",IFERROR(VLOOKUP($B37,'Base de datos'!$A$3:$K$24,9,FALSE),"")&lt;&gt;0)),"",IFERROR($E37*$C37/IFERROR(VLOOKUP($B37,'Base de datos'!$A$3:$K$24,5,FALSE),0),""))</f>
        <v/>
      </c>
      <c r="O37" s="6" t="str">
        <f>IF(OR(OR(UPPER(IFERROR(VLOOKUP($B37,'Base de datos'!$A$3:$K$24,11,FALSE),""))="NO",ISNUMBER(SEARCH("no sometida",IFERROR(VLOOKUP($B37,'Base de datos'!$A$3:$K$24,10,FALSE),""))),ISNUMBER(SEARCH("no fiscal",IFERROR(VLOOKUP($B37,'Base de datos'!$A$3:$K$24,10,FALSE),"")))),OR(ISNUMBER(SEARCH("Hach",$B37)),ISNUMBER(SEARCH("Ketamina",$B37))),AND(IFERROR(VLOOKUP($B37,'Base de datos'!$A$3:$K$24,9,FALSE),"")&lt;&gt;"",IFERROR(VLOOKUP($B37,'Base de datos'!$A$3:$K$24,9,FALSE),"")&lt;&gt;0)),"",IFERROR((($E37*$C37/IFERROR(VLOOKUP($B37,'Base de datos'!$A$3:$K$24,3,FALSE),0))*1000)/IFERROR(VLOOKUP($B37,'Base de datos'!$A$3:$K$24,2,FALSE),0),""))</f>
        <v/>
      </c>
    </row>
    <row r="38" spans="1:15" x14ac:dyDescent="0.25">
      <c r="A38" s="4"/>
      <c r="B38" s="4"/>
      <c r="C38" s="5" t="str">
        <f>IFERROR(VLOOKUP($B38,'Base de datos'!$A$3:$K$24,3,FALSE),"")</f>
        <v/>
      </c>
      <c r="D38" s="4" t="str">
        <f t="shared" si="1"/>
        <v/>
      </c>
      <c r="E38" s="6"/>
      <c r="F38" s="7" t="str">
        <f>IF($B38="","",IF(OR(UPPER(IFERROR(VLOOKUP($B38,'Base de datos'!$A$3:$K$24,11,FALSE),""))="NO",ISNUMBER(SEARCH("no sometida",IFERROR(VLOOKUP($B38,'Base de datos'!$A$3:$K$24,10,FALSE),""))),ISNUMBER(SEARCH("no fiscal",IFERROR(VLOOKUP($B38,'Base de datos'!$A$3:$K$24,10,FALSE),"")))),"",IF(OR(OR(ISNUMBER(SEARCH("Hach",$B38)),ISNUMBER(SEARCH("Ketamina",$B38))),AND(IFERROR(VLOOKUP($B38,'Base de datos'!$A$3:$K$24,9,FALSE),"")&lt;&gt;"",IFERROR(VLOOKUP($B38,'Base de datos'!$A$3:$K$24,9,FALSE),"")&lt;&gt;0)),"",IFERROR($M38*VLOOKUP($B38,'Base de datos'!$A$3:$K$24,8,FALSE)/1000,""))))</f>
        <v/>
      </c>
      <c r="G38" s="7" t="str">
        <f>IF($B38="","",IF(OR(UPPER(IFERROR(VLOOKUP($B38,'Base de datos'!$A$3:$K$24,11,FALSE),""))="NO",ISNUMBER(SEARCH("no sometida",IFERROR(VLOOKUP($B38,'Base de datos'!$A$3:$K$24,10,FALSE),""))),ISNUMBER(SEARCH("no fiscal",IFERROR(VLOOKUP($B38,'Base de datos'!$A$3:$K$24,10,FALSE),"")))),"",IFERROR(IF(OR(ISNUMBER(SEARCH("Hach",$B38)),ISNUMBER(SEARCH("Ketamina",$B38))),IF(VLOOKUP($B38,'Base de datos'!$A$3:$K$24,6,FALSE)="","",$E38*VLOOKUP($B38,'Base de datos'!$A$3:$K$24,6,FALSE)),IF(AND(IFERROR(VLOOKUP($B38,'Base de datos'!$A$3:$K$24,9,FALSE),"")&lt;&gt;"",IFERROR(VLOOKUP($B38,'Base de datos'!$A$3:$K$24,9,FALSE),"")&lt;&gt;0),"",IF(VLOOKUP($B38,'Base de datos'!$A$3:$K$24,6,FALSE)="","",$N38*VLOOKUP($B38,'Base de datos'!$A$3:$K$24,6,FALSE)))),"")))</f>
        <v/>
      </c>
      <c r="H38" s="7" t="str">
        <f>IF($B38="","",IF(OR(UPPER(IFERROR(VLOOKUP($B38,'Base de datos'!$A$3:$K$24,11,FALSE),""))="NO",ISNUMBER(SEARCH("no sometida",IFERROR(VLOOKUP($B38,'Base de datos'!$A$3:$K$24,10,FALSE),""))),ISNUMBER(SEARCH("no fiscal",IFERROR(VLOOKUP($B38,'Base de datos'!$A$3:$K$24,10,FALSE),"")))),"",IF(OR(ISNUMBER(SEARCH("Hach",$B38)),ISNUMBER(SEARCH("Ketamina",$B38))),"",IF(AND(IFERROR(VLOOKUP($B38,'Base de datos'!$A$3:$K$24,9,FALSE),"")&lt;&gt;"",IFERROR(VLOOKUP($B38,'Base de datos'!$A$3:$K$24,9,FALSE),"")&lt;&gt;0),$E38*IFERROR(VLOOKUP($B38,'Base de datos'!$A$3:$K$24,9,FALSE),""),IFERROR($O38*VLOOKUP($B38,'Base de datos'!$A$3:$K$24,4,FALSE),"")))))</f>
        <v/>
      </c>
      <c r="I38" s="5" t="str">
        <f>IFERROR(VLOOKUP($B38,'Base de datos'!$A$3:$K$24,7,FALSE),"")</f>
        <v/>
      </c>
      <c r="J38" s="13" t="str">
        <f>IFERROR(VLOOKUP($B38,'Base de datos'!$A$3:$K$24,10,FALSE),"")</f>
        <v/>
      </c>
      <c r="K38" s="6"/>
      <c r="L38" s="4"/>
      <c r="M38" s="6" t="str">
        <f>IF(OR(OR(UPPER(IFERROR(VLOOKUP($B38,'Base de datos'!$A$3:$K$24,11,FALSE),""))="NO",ISNUMBER(SEARCH("no sometida",IFERROR(VLOOKUP($B38,'Base de datos'!$A$3:$K$24,10,FALSE),""))),ISNUMBER(SEARCH("no fiscal",IFERROR(VLOOKUP($B38,'Base de datos'!$A$3:$K$24,10,FALSE),"")))),OR(ISNUMBER(SEARCH("Hach",$B38)),ISNUMBER(SEARCH("Ketamina",$B38))),AND(IFERROR(VLOOKUP($B38,'Base de datos'!$A$3:$K$24,9,FALSE),"")&lt;&gt;"",IFERROR(VLOOKUP($B38,'Base de datos'!$A$3:$K$24,9,FALSE),"")&lt;&gt;0)),"",IFERROR($E38*$C38/$I38,""))</f>
        <v/>
      </c>
      <c r="N38" s="6" t="str">
        <f>IF(OR(OR(UPPER(IFERROR(VLOOKUP($B38,'Base de datos'!$A$3:$K$24,11,FALSE),""))="NO",ISNUMBER(SEARCH("no sometida",IFERROR(VLOOKUP($B38,'Base de datos'!$A$3:$K$24,10,FALSE),""))),ISNUMBER(SEARCH("no fiscal",IFERROR(VLOOKUP($B38,'Base de datos'!$A$3:$K$24,10,FALSE),"")))),OR(ISNUMBER(SEARCH("Hach",$B38)),ISNUMBER(SEARCH("Ketamina",$B38))),AND(IFERROR(VLOOKUP($B38,'Base de datos'!$A$3:$K$24,9,FALSE),"")&lt;&gt;"",IFERROR(VLOOKUP($B38,'Base de datos'!$A$3:$K$24,9,FALSE),"")&lt;&gt;0)),"",IFERROR($E38*$C38/IFERROR(VLOOKUP($B38,'Base de datos'!$A$3:$K$24,5,FALSE),0),""))</f>
        <v/>
      </c>
      <c r="O38" s="6" t="str">
        <f>IF(OR(OR(UPPER(IFERROR(VLOOKUP($B38,'Base de datos'!$A$3:$K$24,11,FALSE),""))="NO",ISNUMBER(SEARCH("no sometida",IFERROR(VLOOKUP($B38,'Base de datos'!$A$3:$K$24,10,FALSE),""))),ISNUMBER(SEARCH("no fiscal",IFERROR(VLOOKUP($B38,'Base de datos'!$A$3:$K$24,10,FALSE),"")))),OR(ISNUMBER(SEARCH("Hach",$B38)),ISNUMBER(SEARCH("Ketamina",$B38))),AND(IFERROR(VLOOKUP($B38,'Base de datos'!$A$3:$K$24,9,FALSE),"")&lt;&gt;"",IFERROR(VLOOKUP($B38,'Base de datos'!$A$3:$K$24,9,FALSE),"")&lt;&gt;0)),"",IFERROR((($E38*$C38/IFERROR(VLOOKUP($B38,'Base de datos'!$A$3:$K$24,3,FALSE),0))*1000)/IFERROR(VLOOKUP($B38,'Base de datos'!$A$3:$K$24,2,FALSE),0),""))</f>
        <v/>
      </c>
    </row>
    <row r="39" spans="1:15" x14ac:dyDescent="0.25">
      <c r="A39" s="4"/>
      <c r="B39" s="4"/>
      <c r="C39" s="5" t="str">
        <f>IFERROR(VLOOKUP($B39,'Base de datos'!$A$3:$K$24,3,FALSE),"")</f>
        <v/>
      </c>
      <c r="D39" s="4" t="str">
        <f t="shared" si="1"/>
        <v/>
      </c>
      <c r="E39" s="6"/>
      <c r="F39" s="7" t="str">
        <f>IF($B39="","",IF(OR(UPPER(IFERROR(VLOOKUP($B39,'Base de datos'!$A$3:$K$24,11,FALSE),""))="NO",ISNUMBER(SEARCH("no sometida",IFERROR(VLOOKUP($B39,'Base de datos'!$A$3:$K$24,10,FALSE),""))),ISNUMBER(SEARCH("no fiscal",IFERROR(VLOOKUP($B39,'Base de datos'!$A$3:$K$24,10,FALSE),"")))),"",IF(OR(OR(ISNUMBER(SEARCH("Hach",$B39)),ISNUMBER(SEARCH("Ketamina",$B39))),AND(IFERROR(VLOOKUP($B39,'Base de datos'!$A$3:$K$24,9,FALSE),"")&lt;&gt;"",IFERROR(VLOOKUP($B39,'Base de datos'!$A$3:$K$24,9,FALSE),"")&lt;&gt;0)),"",IFERROR($M39*VLOOKUP($B39,'Base de datos'!$A$3:$K$24,8,FALSE)/1000,""))))</f>
        <v/>
      </c>
      <c r="G39" s="7" t="str">
        <f>IF($B39="","",IF(OR(UPPER(IFERROR(VLOOKUP($B39,'Base de datos'!$A$3:$K$24,11,FALSE),""))="NO",ISNUMBER(SEARCH("no sometida",IFERROR(VLOOKUP($B39,'Base de datos'!$A$3:$K$24,10,FALSE),""))),ISNUMBER(SEARCH("no fiscal",IFERROR(VLOOKUP($B39,'Base de datos'!$A$3:$K$24,10,FALSE),"")))),"",IFERROR(IF(OR(ISNUMBER(SEARCH("Hach",$B39)),ISNUMBER(SEARCH("Ketamina",$B39))),IF(VLOOKUP($B39,'Base de datos'!$A$3:$K$24,6,FALSE)="","",$E39*VLOOKUP($B39,'Base de datos'!$A$3:$K$24,6,FALSE)),IF(AND(IFERROR(VLOOKUP($B39,'Base de datos'!$A$3:$K$24,9,FALSE),"")&lt;&gt;"",IFERROR(VLOOKUP($B39,'Base de datos'!$A$3:$K$24,9,FALSE),"")&lt;&gt;0),"",IF(VLOOKUP($B39,'Base de datos'!$A$3:$K$24,6,FALSE)="","",$N39*VLOOKUP($B39,'Base de datos'!$A$3:$K$24,6,FALSE)))),"")))</f>
        <v/>
      </c>
      <c r="H39" s="7" t="str">
        <f>IF($B39="","",IF(OR(UPPER(IFERROR(VLOOKUP($B39,'Base de datos'!$A$3:$K$24,11,FALSE),""))="NO",ISNUMBER(SEARCH("no sometida",IFERROR(VLOOKUP($B39,'Base de datos'!$A$3:$K$24,10,FALSE),""))),ISNUMBER(SEARCH("no fiscal",IFERROR(VLOOKUP($B39,'Base de datos'!$A$3:$K$24,10,FALSE),"")))),"",IF(OR(ISNUMBER(SEARCH("Hach",$B39)),ISNUMBER(SEARCH("Ketamina",$B39))),"",IF(AND(IFERROR(VLOOKUP($B39,'Base de datos'!$A$3:$K$24,9,FALSE),"")&lt;&gt;"",IFERROR(VLOOKUP($B39,'Base de datos'!$A$3:$K$24,9,FALSE),"")&lt;&gt;0),$E39*IFERROR(VLOOKUP($B39,'Base de datos'!$A$3:$K$24,9,FALSE),""),IFERROR($O39*VLOOKUP($B39,'Base de datos'!$A$3:$K$24,4,FALSE),"")))))</f>
        <v/>
      </c>
      <c r="I39" s="5" t="str">
        <f>IFERROR(VLOOKUP($B39,'Base de datos'!$A$3:$K$24,7,FALSE),"")</f>
        <v/>
      </c>
      <c r="J39" s="13" t="str">
        <f>IFERROR(VLOOKUP($B39,'Base de datos'!$A$3:$K$24,10,FALSE),"")</f>
        <v/>
      </c>
      <c r="K39" s="6"/>
      <c r="L39" s="4"/>
      <c r="M39" s="6" t="str">
        <f>IF(OR(OR(UPPER(IFERROR(VLOOKUP($B39,'Base de datos'!$A$3:$K$24,11,FALSE),""))="NO",ISNUMBER(SEARCH("no sometida",IFERROR(VLOOKUP($B39,'Base de datos'!$A$3:$K$24,10,FALSE),""))),ISNUMBER(SEARCH("no fiscal",IFERROR(VLOOKUP($B39,'Base de datos'!$A$3:$K$24,10,FALSE),"")))),OR(ISNUMBER(SEARCH("Hach",$B39)),ISNUMBER(SEARCH("Ketamina",$B39))),AND(IFERROR(VLOOKUP($B39,'Base de datos'!$A$3:$K$24,9,FALSE),"")&lt;&gt;"",IFERROR(VLOOKUP($B39,'Base de datos'!$A$3:$K$24,9,FALSE),"")&lt;&gt;0)),"",IFERROR($E39*$C39/$I39,""))</f>
        <v/>
      </c>
      <c r="N39" s="6" t="str">
        <f>IF(OR(OR(UPPER(IFERROR(VLOOKUP($B39,'Base de datos'!$A$3:$K$24,11,FALSE),""))="NO",ISNUMBER(SEARCH("no sometida",IFERROR(VLOOKUP($B39,'Base de datos'!$A$3:$K$24,10,FALSE),""))),ISNUMBER(SEARCH("no fiscal",IFERROR(VLOOKUP($B39,'Base de datos'!$A$3:$K$24,10,FALSE),"")))),OR(ISNUMBER(SEARCH("Hach",$B39)),ISNUMBER(SEARCH("Ketamina",$B39))),AND(IFERROR(VLOOKUP($B39,'Base de datos'!$A$3:$K$24,9,FALSE),"")&lt;&gt;"",IFERROR(VLOOKUP($B39,'Base de datos'!$A$3:$K$24,9,FALSE),"")&lt;&gt;0)),"",IFERROR($E39*$C39/IFERROR(VLOOKUP($B39,'Base de datos'!$A$3:$K$24,5,FALSE),0),""))</f>
        <v/>
      </c>
      <c r="O39" s="6" t="str">
        <f>IF(OR(OR(UPPER(IFERROR(VLOOKUP($B39,'Base de datos'!$A$3:$K$24,11,FALSE),""))="NO",ISNUMBER(SEARCH("no sometida",IFERROR(VLOOKUP($B39,'Base de datos'!$A$3:$K$24,10,FALSE),""))),ISNUMBER(SEARCH("no fiscal",IFERROR(VLOOKUP($B39,'Base de datos'!$A$3:$K$24,10,FALSE),"")))),OR(ISNUMBER(SEARCH("Hach",$B39)),ISNUMBER(SEARCH("Ketamina",$B39))),AND(IFERROR(VLOOKUP($B39,'Base de datos'!$A$3:$K$24,9,FALSE),"")&lt;&gt;"",IFERROR(VLOOKUP($B39,'Base de datos'!$A$3:$K$24,9,FALSE),"")&lt;&gt;0)),"",IFERROR((($E39*$C39/IFERROR(VLOOKUP($B39,'Base de datos'!$A$3:$K$24,3,FALSE),0))*1000)/IFERROR(VLOOKUP($B39,'Base de datos'!$A$3:$K$24,2,FALSE),0),""))</f>
        <v/>
      </c>
    </row>
    <row r="40" spans="1:15" x14ac:dyDescent="0.25">
      <c r="A40" s="4"/>
      <c r="B40" s="4"/>
      <c r="C40" s="5" t="str">
        <f>IFERROR(VLOOKUP($B40,'Base de datos'!$A$3:$K$24,3,FALSE),"")</f>
        <v/>
      </c>
      <c r="D40" s="4" t="str">
        <f t="shared" si="1"/>
        <v/>
      </c>
      <c r="E40" s="6"/>
      <c r="F40" s="7" t="str">
        <f>IF($B40="","",IF(OR(UPPER(IFERROR(VLOOKUP($B40,'Base de datos'!$A$3:$K$24,11,FALSE),""))="NO",ISNUMBER(SEARCH("no sometida",IFERROR(VLOOKUP($B40,'Base de datos'!$A$3:$K$24,10,FALSE),""))),ISNUMBER(SEARCH("no fiscal",IFERROR(VLOOKUP($B40,'Base de datos'!$A$3:$K$24,10,FALSE),"")))),"",IF(OR(OR(ISNUMBER(SEARCH("Hach",$B40)),ISNUMBER(SEARCH("Ketamina",$B40))),AND(IFERROR(VLOOKUP($B40,'Base de datos'!$A$3:$K$24,9,FALSE),"")&lt;&gt;"",IFERROR(VLOOKUP($B40,'Base de datos'!$A$3:$K$24,9,FALSE),"")&lt;&gt;0)),"",IFERROR($M40*VLOOKUP($B40,'Base de datos'!$A$3:$K$24,8,FALSE)/1000,""))))</f>
        <v/>
      </c>
      <c r="G40" s="7" t="str">
        <f>IF($B40="","",IF(OR(UPPER(IFERROR(VLOOKUP($B40,'Base de datos'!$A$3:$K$24,11,FALSE),""))="NO",ISNUMBER(SEARCH("no sometida",IFERROR(VLOOKUP($B40,'Base de datos'!$A$3:$K$24,10,FALSE),""))),ISNUMBER(SEARCH("no fiscal",IFERROR(VLOOKUP($B40,'Base de datos'!$A$3:$K$24,10,FALSE),"")))),"",IFERROR(IF(OR(ISNUMBER(SEARCH("Hach",$B40)),ISNUMBER(SEARCH("Ketamina",$B40))),IF(VLOOKUP($B40,'Base de datos'!$A$3:$K$24,6,FALSE)="","",$E40*VLOOKUP($B40,'Base de datos'!$A$3:$K$24,6,FALSE)),IF(AND(IFERROR(VLOOKUP($B40,'Base de datos'!$A$3:$K$24,9,FALSE),"")&lt;&gt;"",IFERROR(VLOOKUP($B40,'Base de datos'!$A$3:$K$24,9,FALSE),"")&lt;&gt;0),"",IF(VLOOKUP($B40,'Base de datos'!$A$3:$K$24,6,FALSE)="","",$N40*VLOOKUP($B40,'Base de datos'!$A$3:$K$24,6,FALSE)))),"")))</f>
        <v/>
      </c>
      <c r="H40" s="7" t="str">
        <f>IF($B40="","",IF(OR(UPPER(IFERROR(VLOOKUP($B40,'Base de datos'!$A$3:$K$24,11,FALSE),""))="NO",ISNUMBER(SEARCH("no sometida",IFERROR(VLOOKUP($B40,'Base de datos'!$A$3:$K$24,10,FALSE),""))),ISNUMBER(SEARCH("no fiscal",IFERROR(VLOOKUP($B40,'Base de datos'!$A$3:$K$24,10,FALSE),"")))),"",IF(OR(ISNUMBER(SEARCH("Hach",$B40)),ISNUMBER(SEARCH("Ketamina",$B40))),"",IF(AND(IFERROR(VLOOKUP($B40,'Base de datos'!$A$3:$K$24,9,FALSE),"")&lt;&gt;"",IFERROR(VLOOKUP($B40,'Base de datos'!$A$3:$K$24,9,FALSE),"")&lt;&gt;0),$E40*IFERROR(VLOOKUP($B40,'Base de datos'!$A$3:$K$24,9,FALSE),""),IFERROR($O40*VLOOKUP($B40,'Base de datos'!$A$3:$K$24,4,FALSE),"")))))</f>
        <v/>
      </c>
      <c r="I40" s="5" t="str">
        <f>IFERROR(VLOOKUP($B40,'Base de datos'!$A$3:$K$24,7,FALSE),"")</f>
        <v/>
      </c>
      <c r="J40" s="13" t="str">
        <f>IFERROR(VLOOKUP($B40,'Base de datos'!$A$3:$K$24,10,FALSE),"")</f>
        <v/>
      </c>
      <c r="K40" s="6"/>
      <c r="L40" s="4"/>
      <c r="M40" s="6" t="str">
        <f>IF(OR(OR(UPPER(IFERROR(VLOOKUP($B40,'Base de datos'!$A$3:$K$24,11,FALSE),""))="NO",ISNUMBER(SEARCH("no sometida",IFERROR(VLOOKUP($B40,'Base de datos'!$A$3:$K$24,10,FALSE),""))),ISNUMBER(SEARCH("no fiscal",IFERROR(VLOOKUP($B40,'Base de datos'!$A$3:$K$24,10,FALSE),"")))),OR(ISNUMBER(SEARCH("Hach",$B40)),ISNUMBER(SEARCH("Ketamina",$B40))),AND(IFERROR(VLOOKUP($B40,'Base de datos'!$A$3:$K$24,9,FALSE),"")&lt;&gt;"",IFERROR(VLOOKUP($B40,'Base de datos'!$A$3:$K$24,9,FALSE),"")&lt;&gt;0)),"",IFERROR($E40*$C40/$I40,""))</f>
        <v/>
      </c>
      <c r="N40" s="6" t="str">
        <f>IF(OR(OR(UPPER(IFERROR(VLOOKUP($B40,'Base de datos'!$A$3:$K$24,11,FALSE),""))="NO",ISNUMBER(SEARCH("no sometida",IFERROR(VLOOKUP($B40,'Base de datos'!$A$3:$K$24,10,FALSE),""))),ISNUMBER(SEARCH("no fiscal",IFERROR(VLOOKUP($B40,'Base de datos'!$A$3:$K$24,10,FALSE),"")))),OR(ISNUMBER(SEARCH("Hach",$B40)),ISNUMBER(SEARCH("Ketamina",$B40))),AND(IFERROR(VLOOKUP($B40,'Base de datos'!$A$3:$K$24,9,FALSE),"")&lt;&gt;"",IFERROR(VLOOKUP($B40,'Base de datos'!$A$3:$K$24,9,FALSE),"")&lt;&gt;0)),"",IFERROR($E40*$C40/IFERROR(VLOOKUP($B40,'Base de datos'!$A$3:$K$24,5,FALSE),0),""))</f>
        <v/>
      </c>
      <c r="O40" s="6" t="str">
        <f>IF(OR(OR(UPPER(IFERROR(VLOOKUP($B40,'Base de datos'!$A$3:$K$24,11,FALSE),""))="NO",ISNUMBER(SEARCH("no sometida",IFERROR(VLOOKUP($B40,'Base de datos'!$A$3:$K$24,10,FALSE),""))),ISNUMBER(SEARCH("no fiscal",IFERROR(VLOOKUP($B40,'Base de datos'!$A$3:$K$24,10,FALSE),"")))),OR(ISNUMBER(SEARCH("Hach",$B40)),ISNUMBER(SEARCH("Ketamina",$B40))),AND(IFERROR(VLOOKUP($B40,'Base de datos'!$A$3:$K$24,9,FALSE),"")&lt;&gt;"",IFERROR(VLOOKUP($B40,'Base de datos'!$A$3:$K$24,9,FALSE),"")&lt;&gt;0)),"",IFERROR((($E40*$C40/IFERROR(VLOOKUP($B40,'Base de datos'!$A$3:$K$24,3,FALSE),0))*1000)/IFERROR(VLOOKUP($B40,'Base de datos'!$A$3:$K$24,2,FALSE),0),""))</f>
        <v/>
      </c>
    </row>
    <row r="41" spans="1:15" x14ac:dyDescent="0.25">
      <c r="A41" s="4"/>
      <c r="B41" s="4"/>
      <c r="C41" s="5" t="str">
        <f>IFERROR(VLOOKUP($B41,'Base de datos'!$A$3:$K$24,3,FALSE),"")</f>
        <v/>
      </c>
      <c r="D41" s="4" t="str">
        <f t="shared" si="1"/>
        <v/>
      </c>
      <c r="E41" s="6"/>
      <c r="F41" s="7" t="str">
        <f>IF($B41="","",IF(OR(UPPER(IFERROR(VLOOKUP($B41,'Base de datos'!$A$3:$K$24,11,FALSE),""))="NO",ISNUMBER(SEARCH("no sometida",IFERROR(VLOOKUP($B41,'Base de datos'!$A$3:$K$24,10,FALSE),""))),ISNUMBER(SEARCH("no fiscal",IFERROR(VLOOKUP($B41,'Base de datos'!$A$3:$K$24,10,FALSE),"")))),"",IF(OR(OR(ISNUMBER(SEARCH("Hach",$B41)),ISNUMBER(SEARCH("Ketamina",$B41))),AND(IFERROR(VLOOKUP($B41,'Base de datos'!$A$3:$K$24,9,FALSE),"")&lt;&gt;"",IFERROR(VLOOKUP($B41,'Base de datos'!$A$3:$K$24,9,FALSE),"")&lt;&gt;0)),"",IFERROR($M41*VLOOKUP($B41,'Base de datos'!$A$3:$K$24,8,FALSE)/1000,""))))</f>
        <v/>
      </c>
      <c r="G41" s="7" t="str">
        <f>IF($B41="","",IF(OR(UPPER(IFERROR(VLOOKUP($B41,'Base de datos'!$A$3:$K$24,11,FALSE),""))="NO",ISNUMBER(SEARCH("no sometida",IFERROR(VLOOKUP($B41,'Base de datos'!$A$3:$K$24,10,FALSE),""))),ISNUMBER(SEARCH("no fiscal",IFERROR(VLOOKUP($B41,'Base de datos'!$A$3:$K$24,10,FALSE),"")))),"",IFERROR(IF(OR(ISNUMBER(SEARCH("Hach",$B41)),ISNUMBER(SEARCH("Ketamina",$B41))),IF(VLOOKUP($B41,'Base de datos'!$A$3:$K$24,6,FALSE)="","",$E41*VLOOKUP($B41,'Base de datos'!$A$3:$K$24,6,FALSE)),IF(AND(IFERROR(VLOOKUP($B41,'Base de datos'!$A$3:$K$24,9,FALSE),"")&lt;&gt;"",IFERROR(VLOOKUP($B41,'Base de datos'!$A$3:$K$24,9,FALSE),"")&lt;&gt;0),"",IF(VLOOKUP($B41,'Base de datos'!$A$3:$K$24,6,FALSE)="","",$N41*VLOOKUP($B41,'Base de datos'!$A$3:$K$24,6,FALSE)))),"")))</f>
        <v/>
      </c>
      <c r="H41" s="7" t="str">
        <f>IF($B41="","",IF(OR(UPPER(IFERROR(VLOOKUP($B41,'Base de datos'!$A$3:$K$24,11,FALSE),""))="NO",ISNUMBER(SEARCH("no sometida",IFERROR(VLOOKUP($B41,'Base de datos'!$A$3:$K$24,10,FALSE),""))),ISNUMBER(SEARCH("no fiscal",IFERROR(VLOOKUP($B41,'Base de datos'!$A$3:$K$24,10,FALSE),"")))),"",IF(OR(ISNUMBER(SEARCH("Hach",$B41)),ISNUMBER(SEARCH("Ketamina",$B41))),"",IF(AND(IFERROR(VLOOKUP($B41,'Base de datos'!$A$3:$K$24,9,FALSE),"")&lt;&gt;"",IFERROR(VLOOKUP($B41,'Base de datos'!$A$3:$K$24,9,FALSE),"")&lt;&gt;0),$E41*IFERROR(VLOOKUP($B41,'Base de datos'!$A$3:$K$24,9,FALSE),""),IFERROR($O41*VLOOKUP($B41,'Base de datos'!$A$3:$K$24,4,FALSE),"")))))</f>
        <v/>
      </c>
      <c r="I41" s="5" t="str">
        <f>IFERROR(VLOOKUP($B41,'Base de datos'!$A$3:$K$24,7,FALSE),"")</f>
        <v/>
      </c>
      <c r="J41" s="13" t="str">
        <f>IFERROR(VLOOKUP($B41,'Base de datos'!$A$3:$K$24,10,FALSE),"")</f>
        <v/>
      </c>
      <c r="K41" s="6"/>
      <c r="L41" s="4"/>
      <c r="M41" s="6" t="str">
        <f>IF(OR(OR(UPPER(IFERROR(VLOOKUP($B41,'Base de datos'!$A$3:$K$24,11,FALSE),""))="NO",ISNUMBER(SEARCH("no sometida",IFERROR(VLOOKUP($B41,'Base de datos'!$A$3:$K$24,10,FALSE),""))),ISNUMBER(SEARCH("no fiscal",IFERROR(VLOOKUP($B41,'Base de datos'!$A$3:$K$24,10,FALSE),"")))),OR(ISNUMBER(SEARCH("Hach",$B41)),ISNUMBER(SEARCH("Ketamina",$B41))),AND(IFERROR(VLOOKUP($B41,'Base de datos'!$A$3:$K$24,9,FALSE),"")&lt;&gt;"",IFERROR(VLOOKUP($B41,'Base de datos'!$A$3:$K$24,9,FALSE),"")&lt;&gt;0)),"",IFERROR($E41*$C41/$I41,""))</f>
        <v/>
      </c>
      <c r="N41" s="6" t="str">
        <f>IF(OR(OR(UPPER(IFERROR(VLOOKUP($B41,'Base de datos'!$A$3:$K$24,11,FALSE),""))="NO",ISNUMBER(SEARCH("no sometida",IFERROR(VLOOKUP($B41,'Base de datos'!$A$3:$K$24,10,FALSE),""))),ISNUMBER(SEARCH("no fiscal",IFERROR(VLOOKUP($B41,'Base de datos'!$A$3:$K$24,10,FALSE),"")))),OR(ISNUMBER(SEARCH("Hach",$B41)),ISNUMBER(SEARCH("Ketamina",$B41))),AND(IFERROR(VLOOKUP($B41,'Base de datos'!$A$3:$K$24,9,FALSE),"")&lt;&gt;"",IFERROR(VLOOKUP($B41,'Base de datos'!$A$3:$K$24,9,FALSE),"")&lt;&gt;0)),"",IFERROR($E41*$C41/IFERROR(VLOOKUP($B41,'Base de datos'!$A$3:$K$24,5,FALSE),0),""))</f>
        <v/>
      </c>
      <c r="O41" s="6" t="str">
        <f>IF(OR(OR(UPPER(IFERROR(VLOOKUP($B41,'Base de datos'!$A$3:$K$24,11,FALSE),""))="NO",ISNUMBER(SEARCH("no sometida",IFERROR(VLOOKUP($B41,'Base de datos'!$A$3:$K$24,10,FALSE),""))),ISNUMBER(SEARCH("no fiscal",IFERROR(VLOOKUP($B41,'Base de datos'!$A$3:$K$24,10,FALSE),"")))),OR(ISNUMBER(SEARCH("Hach",$B41)),ISNUMBER(SEARCH("Ketamina",$B41))),AND(IFERROR(VLOOKUP($B41,'Base de datos'!$A$3:$K$24,9,FALSE),"")&lt;&gt;"",IFERROR(VLOOKUP($B41,'Base de datos'!$A$3:$K$24,9,FALSE),"")&lt;&gt;0)),"",IFERROR((($E41*$C41/IFERROR(VLOOKUP($B41,'Base de datos'!$A$3:$K$24,3,FALSE),0))*1000)/IFERROR(VLOOKUP($B41,'Base de datos'!$A$3:$K$24,2,FALSE),0),""))</f>
        <v/>
      </c>
    </row>
    <row r="42" spans="1:15" x14ac:dyDescent="0.25">
      <c r="A42" s="4"/>
      <c r="B42" s="4"/>
      <c r="C42" s="5" t="str">
        <f>IFERROR(VLOOKUP($B42,'Base de datos'!$A$3:$K$24,3,FALSE),"")</f>
        <v/>
      </c>
      <c r="D42" s="4" t="str">
        <f t="shared" si="1"/>
        <v/>
      </c>
      <c r="E42" s="6"/>
      <c r="F42" s="7" t="str">
        <f>IF($B42="","",IF(OR(UPPER(IFERROR(VLOOKUP($B42,'Base de datos'!$A$3:$K$24,11,FALSE),""))="NO",ISNUMBER(SEARCH("no sometida",IFERROR(VLOOKUP($B42,'Base de datos'!$A$3:$K$24,10,FALSE),""))),ISNUMBER(SEARCH("no fiscal",IFERROR(VLOOKUP($B42,'Base de datos'!$A$3:$K$24,10,FALSE),"")))),"",IF(OR(OR(ISNUMBER(SEARCH("Hach",$B42)),ISNUMBER(SEARCH("Ketamina",$B42))),AND(IFERROR(VLOOKUP($B42,'Base de datos'!$A$3:$K$24,9,FALSE),"")&lt;&gt;"",IFERROR(VLOOKUP($B42,'Base de datos'!$A$3:$K$24,9,FALSE),"")&lt;&gt;0)),"",IFERROR($M42*VLOOKUP($B42,'Base de datos'!$A$3:$K$24,8,FALSE)/1000,""))))</f>
        <v/>
      </c>
      <c r="G42" s="7" t="str">
        <f>IF($B42="","",IF(OR(UPPER(IFERROR(VLOOKUP($B42,'Base de datos'!$A$3:$K$24,11,FALSE),""))="NO",ISNUMBER(SEARCH("no sometida",IFERROR(VLOOKUP($B42,'Base de datos'!$A$3:$K$24,10,FALSE),""))),ISNUMBER(SEARCH("no fiscal",IFERROR(VLOOKUP($B42,'Base de datos'!$A$3:$K$24,10,FALSE),"")))),"",IFERROR(IF(OR(ISNUMBER(SEARCH("Hach",$B42)),ISNUMBER(SEARCH("Ketamina",$B42))),IF(VLOOKUP($B42,'Base de datos'!$A$3:$K$24,6,FALSE)="","",$E42*VLOOKUP($B42,'Base de datos'!$A$3:$K$24,6,FALSE)),IF(AND(IFERROR(VLOOKUP($B42,'Base de datos'!$A$3:$K$24,9,FALSE),"")&lt;&gt;"",IFERROR(VLOOKUP($B42,'Base de datos'!$A$3:$K$24,9,FALSE),"")&lt;&gt;0),"",IF(VLOOKUP($B42,'Base de datos'!$A$3:$K$24,6,FALSE)="","",$N42*VLOOKUP($B42,'Base de datos'!$A$3:$K$24,6,FALSE)))),"")))</f>
        <v/>
      </c>
      <c r="H42" s="7" t="str">
        <f>IF($B42="","",IF(OR(UPPER(IFERROR(VLOOKUP($B42,'Base de datos'!$A$3:$K$24,11,FALSE),""))="NO",ISNUMBER(SEARCH("no sometida",IFERROR(VLOOKUP($B42,'Base de datos'!$A$3:$K$24,10,FALSE),""))),ISNUMBER(SEARCH("no fiscal",IFERROR(VLOOKUP($B42,'Base de datos'!$A$3:$K$24,10,FALSE),"")))),"",IF(OR(ISNUMBER(SEARCH("Hach",$B42)),ISNUMBER(SEARCH("Ketamina",$B42))),"",IF(AND(IFERROR(VLOOKUP($B42,'Base de datos'!$A$3:$K$24,9,FALSE),"")&lt;&gt;"",IFERROR(VLOOKUP($B42,'Base de datos'!$A$3:$K$24,9,FALSE),"")&lt;&gt;0),$E42*IFERROR(VLOOKUP($B42,'Base de datos'!$A$3:$K$24,9,FALSE),""),IFERROR($O42*VLOOKUP($B42,'Base de datos'!$A$3:$K$24,4,FALSE),"")))))</f>
        <v/>
      </c>
      <c r="I42" s="5" t="str">
        <f>IFERROR(VLOOKUP($B42,'Base de datos'!$A$3:$K$24,7,FALSE),"")</f>
        <v/>
      </c>
      <c r="J42" s="13" t="str">
        <f>IFERROR(VLOOKUP($B42,'Base de datos'!$A$3:$K$24,10,FALSE),"")</f>
        <v/>
      </c>
      <c r="K42" s="6"/>
      <c r="L42" s="4"/>
      <c r="M42" s="6" t="str">
        <f>IF(OR(OR(UPPER(IFERROR(VLOOKUP($B42,'Base de datos'!$A$3:$K$24,11,FALSE),""))="NO",ISNUMBER(SEARCH("no sometida",IFERROR(VLOOKUP($B42,'Base de datos'!$A$3:$K$24,10,FALSE),""))),ISNUMBER(SEARCH("no fiscal",IFERROR(VLOOKUP($B42,'Base de datos'!$A$3:$K$24,10,FALSE),"")))),OR(ISNUMBER(SEARCH("Hach",$B42)),ISNUMBER(SEARCH("Ketamina",$B42))),AND(IFERROR(VLOOKUP($B42,'Base de datos'!$A$3:$K$24,9,FALSE),"")&lt;&gt;"",IFERROR(VLOOKUP($B42,'Base de datos'!$A$3:$K$24,9,FALSE),"")&lt;&gt;0)),"",IFERROR($E42*$C42/$I42,""))</f>
        <v/>
      </c>
      <c r="N42" s="6" t="str">
        <f>IF(OR(OR(UPPER(IFERROR(VLOOKUP($B42,'Base de datos'!$A$3:$K$24,11,FALSE),""))="NO",ISNUMBER(SEARCH("no sometida",IFERROR(VLOOKUP($B42,'Base de datos'!$A$3:$K$24,10,FALSE),""))),ISNUMBER(SEARCH("no fiscal",IFERROR(VLOOKUP($B42,'Base de datos'!$A$3:$K$24,10,FALSE),"")))),OR(ISNUMBER(SEARCH("Hach",$B42)),ISNUMBER(SEARCH("Ketamina",$B42))),AND(IFERROR(VLOOKUP($B42,'Base de datos'!$A$3:$K$24,9,FALSE),"")&lt;&gt;"",IFERROR(VLOOKUP($B42,'Base de datos'!$A$3:$K$24,9,FALSE),"")&lt;&gt;0)),"",IFERROR($E42*$C42/IFERROR(VLOOKUP($B42,'Base de datos'!$A$3:$K$24,5,FALSE),0),""))</f>
        <v/>
      </c>
      <c r="O42" s="6" t="str">
        <f>IF(OR(OR(UPPER(IFERROR(VLOOKUP($B42,'Base de datos'!$A$3:$K$24,11,FALSE),""))="NO",ISNUMBER(SEARCH("no sometida",IFERROR(VLOOKUP($B42,'Base de datos'!$A$3:$K$24,10,FALSE),""))),ISNUMBER(SEARCH("no fiscal",IFERROR(VLOOKUP($B42,'Base de datos'!$A$3:$K$24,10,FALSE),"")))),OR(ISNUMBER(SEARCH("Hach",$B42)),ISNUMBER(SEARCH("Ketamina",$B42))),AND(IFERROR(VLOOKUP($B42,'Base de datos'!$A$3:$K$24,9,FALSE),"")&lt;&gt;"",IFERROR(VLOOKUP($B42,'Base de datos'!$A$3:$K$24,9,FALSE),"")&lt;&gt;0)),"",IFERROR((($E42*$C42/IFERROR(VLOOKUP($B42,'Base de datos'!$A$3:$K$24,3,FALSE),0))*1000)/IFERROR(VLOOKUP($B42,'Base de datos'!$A$3:$K$24,2,FALSE),0),""))</f>
        <v/>
      </c>
    </row>
    <row r="43" spans="1:15" x14ac:dyDescent="0.25">
      <c r="A43" s="4"/>
      <c r="B43" s="4"/>
      <c r="C43" s="5" t="str">
        <f>IFERROR(VLOOKUP($B43,'Base de datos'!$A$3:$K$24,3,FALSE),"")</f>
        <v/>
      </c>
      <c r="D43" s="4" t="str">
        <f t="shared" si="1"/>
        <v/>
      </c>
      <c r="E43" s="6"/>
      <c r="F43" s="7" t="str">
        <f>IF($B43="","",IF(OR(UPPER(IFERROR(VLOOKUP($B43,'Base de datos'!$A$3:$K$24,11,FALSE),""))="NO",ISNUMBER(SEARCH("no sometida",IFERROR(VLOOKUP($B43,'Base de datos'!$A$3:$K$24,10,FALSE),""))),ISNUMBER(SEARCH("no fiscal",IFERROR(VLOOKUP($B43,'Base de datos'!$A$3:$K$24,10,FALSE),"")))),"",IF(OR(OR(ISNUMBER(SEARCH("Hach",$B43)),ISNUMBER(SEARCH("Ketamina",$B43))),AND(IFERROR(VLOOKUP($B43,'Base de datos'!$A$3:$K$24,9,FALSE),"")&lt;&gt;"",IFERROR(VLOOKUP($B43,'Base de datos'!$A$3:$K$24,9,FALSE),"")&lt;&gt;0)),"",IFERROR($M43*VLOOKUP($B43,'Base de datos'!$A$3:$K$24,8,FALSE)/1000,""))))</f>
        <v/>
      </c>
      <c r="G43" s="7" t="str">
        <f>IF($B43="","",IF(OR(UPPER(IFERROR(VLOOKUP($B43,'Base de datos'!$A$3:$K$24,11,FALSE),""))="NO",ISNUMBER(SEARCH("no sometida",IFERROR(VLOOKUP($B43,'Base de datos'!$A$3:$K$24,10,FALSE),""))),ISNUMBER(SEARCH("no fiscal",IFERROR(VLOOKUP($B43,'Base de datos'!$A$3:$K$24,10,FALSE),"")))),"",IFERROR(IF(OR(ISNUMBER(SEARCH("Hach",$B43)),ISNUMBER(SEARCH("Ketamina",$B43))),IF(VLOOKUP($B43,'Base de datos'!$A$3:$K$24,6,FALSE)="","",$E43*VLOOKUP($B43,'Base de datos'!$A$3:$K$24,6,FALSE)),IF(AND(IFERROR(VLOOKUP($B43,'Base de datos'!$A$3:$K$24,9,FALSE),"")&lt;&gt;"",IFERROR(VLOOKUP($B43,'Base de datos'!$A$3:$K$24,9,FALSE),"")&lt;&gt;0),"",IF(VLOOKUP($B43,'Base de datos'!$A$3:$K$24,6,FALSE)="","",$N43*VLOOKUP($B43,'Base de datos'!$A$3:$K$24,6,FALSE)))),"")))</f>
        <v/>
      </c>
      <c r="H43" s="7" t="str">
        <f>IF($B43="","",IF(OR(UPPER(IFERROR(VLOOKUP($B43,'Base de datos'!$A$3:$K$24,11,FALSE),""))="NO",ISNUMBER(SEARCH("no sometida",IFERROR(VLOOKUP($B43,'Base de datos'!$A$3:$K$24,10,FALSE),""))),ISNUMBER(SEARCH("no fiscal",IFERROR(VLOOKUP($B43,'Base de datos'!$A$3:$K$24,10,FALSE),"")))),"",IF(OR(ISNUMBER(SEARCH("Hach",$B43)),ISNUMBER(SEARCH("Ketamina",$B43))),"",IF(AND(IFERROR(VLOOKUP($B43,'Base de datos'!$A$3:$K$24,9,FALSE),"")&lt;&gt;"",IFERROR(VLOOKUP($B43,'Base de datos'!$A$3:$K$24,9,FALSE),"")&lt;&gt;0),$E43*IFERROR(VLOOKUP($B43,'Base de datos'!$A$3:$K$24,9,FALSE),""),IFERROR($O43*VLOOKUP($B43,'Base de datos'!$A$3:$K$24,4,FALSE),"")))))</f>
        <v/>
      </c>
      <c r="I43" s="5" t="str">
        <f>IFERROR(VLOOKUP($B43,'Base de datos'!$A$3:$K$24,7,FALSE),"")</f>
        <v/>
      </c>
      <c r="J43" s="13" t="str">
        <f>IFERROR(VLOOKUP($B43,'Base de datos'!$A$3:$K$24,10,FALSE),"")</f>
        <v/>
      </c>
      <c r="K43" s="6"/>
      <c r="L43" s="4"/>
      <c r="M43" s="6" t="str">
        <f>IF(OR(OR(UPPER(IFERROR(VLOOKUP($B43,'Base de datos'!$A$3:$K$24,11,FALSE),""))="NO",ISNUMBER(SEARCH("no sometida",IFERROR(VLOOKUP($B43,'Base de datos'!$A$3:$K$24,10,FALSE),""))),ISNUMBER(SEARCH("no fiscal",IFERROR(VLOOKUP($B43,'Base de datos'!$A$3:$K$24,10,FALSE),"")))),OR(ISNUMBER(SEARCH("Hach",$B43)),ISNUMBER(SEARCH("Ketamina",$B43))),AND(IFERROR(VLOOKUP($B43,'Base de datos'!$A$3:$K$24,9,FALSE),"")&lt;&gt;"",IFERROR(VLOOKUP($B43,'Base de datos'!$A$3:$K$24,9,FALSE),"")&lt;&gt;0)),"",IFERROR($E43*$C43/$I43,""))</f>
        <v/>
      </c>
      <c r="N43" s="6" t="str">
        <f>IF(OR(OR(UPPER(IFERROR(VLOOKUP($B43,'Base de datos'!$A$3:$K$24,11,FALSE),""))="NO",ISNUMBER(SEARCH("no sometida",IFERROR(VLOOKUP($B43,'Base de datos'!$A$3:$K$24,10,FALSE),""))),ISNUMBER(SEARCH("no fiscal",IFERROR(VLOOKUP($B43,'Base de datos'!$A$3:$K$24,10,FALSE),"")))),OR(ISNUMBER(SEARCH("Hach",$B43)),ISNUMBER(SEARCH("Ketamina",$B43))),AND(IFERROR(VLOOKUP($B43,'Base de datos'!$A$3:$K$24,9,FALSE),"")&lt;&gt;"",IFERROR(VLOOKUP($B43,'Base de datos'!$A$3:$K$24,9,FALSE),"")&lt;&gt;0)),"",IFERROR($E43*$C43/IFERROR(VLOOKUP($B43,'Base de datos'!$A$3:$K$24,5,FALSE),0),""))</f>
        <v/>
      </c>
      <c r="O43" s="6" t="str">
        <f>IF(OR(OR(UPPER(IFERROR(VLOOKUP($B43,'Base de datos'!$A$3:$K$24,11,FALSE),""))="NO",ISNUMBER(SEARCH("no sometida",IFERROR(VLOOKUP($B43,'Base de datos'!$A$3:$K$24,10,FALSE),""))),ISNUMBER(SEARCH("no fiscal",IFERROR(VLOOKUP($B43,'Base de datos'!$A$3:$K$24,10,FALSE),"")))),OR(ISNUMBER(SEARCH("Hach",$B43)),ISNUMBER(SEARCH("Ketamina",$B43))),AND(IFERROR(VLOOKUP($B43,'Base de datos'!$A$3:$K$24,9,FALSE),"")&lt;&gt;"",IFERROR(VLOOKUP($B43,'Base de datos'!$A$3:$K$24,9,FALSE),"")&lt;&gt;0)),"",IFERROR((($E43*$C43/IFERROR(VLOOKUP($B43,'Base de datos'!$A$3:$K$24,3,FALSE),0))*1000)/IFERROR(VLOOKUP($B43,'Base de datos'!$A$3:$K$24,2,FALSE),0),""))</f>
        <v/>
      </c>
    </row>
    <row r="44" spans="1:15" x14ac:dyDescent="0.25">
      <c r="A44" s="4"/>
      <c r="B44" s="4"/>
      <c r="C44" s="5" t="str">
        <f>IFERROR(VLOOKUP($B44,'Base de datos'!$A$3:$K$24,3,FALSE),"")</f>
        <v/>
      </c>
      <c r="D44" s="4" t="str">
        <f t="shared" si="1"/>
        <v/>
      </c>
      <c r="E44" s="6"/>
      <c r="F44" s="7" t="str">
        <f>IF($B44="","",IF(OR(UPPER(IFERROR(VLOOKUP($B44,'Base de datos'!$A$3:$K$24,11,FALSE),""))="NO",ISNUMBER(SEARCH("no sometida",IFERROR(VLOOKUP($B44,'Base de datos'!$A$3:$K$24,10,FALSE),""))),ISNUMBER(SEARCH("no fiscal",IFERROR(VLOOKUP($B44,'Base de datos'!$A$3:$K$24,10,FALSE),"")))),"",IF(OR(OR(ISNUMBER(SEARCH("Hach",$B44)),ISNUMBER(SEARCH("Ketamina",$B44))),AND(IFERROR(VLOOKUP($B44,'Base de datos'!$A$3:$K$24,9,FALSE),"")&lt;&gt;"",IFERROR(VLOOKUP($B44,'Base de datos'!$A$3:$K$24,9,FALSE),"")&lt;&gt;0)),"",IFERROR($M44*VLOOKUP($B44,'Base de datos'!$A$3:$K$24,8,FALSE)/1000,""))))</f>
        <v/>
      </c>
      <c r="G44" s="7" t="str">
        <f>IF($B44="","",IF(OR(UPPER(IFERROR(VLOOKUP($B44,'Base de datos'!$A$3:$K$24,11,FALSE),""))="NO",ISNUMBER(SEARCH("no sometida",IFERROR(VLOOKUP($B44,'Base de datos'!$A$3:$K$24,10,FALSE),""))),ISNUMBER(SEARCH("no fiscal",IFERROR(VLOOKUP($B44,'Base de datos'!$A$3:$K$24,10,FALSE),"")))),"",IFERROR(IF(OR(ISNUMBER(SEARCH("Hach",$B44)),ISNUMBER(SEARCH("Ketamina",$B44))),IF(VLOOKUP($B44,'Base de datos'!$A$3:$K$24,6,FALSE)="","",$E44*VLOOKUP($B44,'Base de datos'!$A$3:$K$24,6,FALSE)),IF(AND(IFERROR(VLOOKUP($B44,'Base de datos'!$A$3:$K$24,9,FALSE),"")&lt;&gt;"",IFERROR(VLOOKUP($B44,'Base de datos'!$A$3:$K$24,9,FALSE),"")&lt;&gt;0),"",IF(VLOOKUP($B44,'Base de datos'!$A$3:$K$24,6,FALSE)="","",$N44*VLOOKUP($B44,'Base de datos'!$A$3:$K$24,6,FALSE)))),"")))</f>
        <v/>
      </c>
      <c r="H44" s="7" t="str">
        <f>IF($B44="","",IF(OR(UPPER(IFERROR(VLOOKUP($B44,'Base de datos'!$A$3:$K$24,11,FALSE),""))="NO",ISNUMBER(SEARCH("no sometida",IFERROR(VLOOKUP($B44,'Base de datos'!$A$3:$K$24,10,FALSE),""))),ISNUMBER(SEARCH("no fiscal",IFERROR(VLOOKUP($B44,'Base de datos'!$A$3:$K$24,10,FALSE),"")))),"",IF(OR(ISNUMBER(SEARCH("Hach",$B44)),ISNUMBER(SEARCH("Ketamina",$B44))),"",IF(AND(IFERROR(VLOOKUP($B44,'Base de datos'!$A$3:$K$24,9,FALSE),"")&lt;&gt;"",IFERROR(VLOOKUP($B44,'Base de datos'!$A$3:$K$24,9,FALSE),"")&lt;&gt;0),$E44*IFERROR(VLOOKUP($B44,'Base de datos'!$A$3:$K$24,9,FALSE),""),IFERROR($O44*VLOOKUP($B44,'Base de datos'!$A$3:$K$24,4,FALSE),"")))))</f>
        <v/>
      </c>
      <c r="I44" s="5" t="str">
        <f>IFERROR(VLOOKUP($B44,'Base de datos'!$A$3:$K$24,7,FALSE),"")</f>
        <v/>
      </c>
      <c r="J44" s="13" t="str">
        <f>IFERROR(VLOOKUP($B44,'Base de datos'!$A$3:$K$24,10,FALSE),"")</f>
        <v/>
      </c>
      <c r="K44" s="6"/>
      <c r="L44" s="4"/>
      <c r="M44" s="6" t="str">
        <f>IF(OR(OR(UPPER(IFERROR(VLOOKUP($B44,'Base de datos'!$A$3:$K$24,11,FALSE),""))="NO",ISNUMBER(SEARCH("no sometida",IFERROR(VLOOKUP($B44,'Base de datos'!$A$3:$K$24,10,FALSE),""))),ISNUMBER(SEARCH("no fiscal",IFERROR(VLOOKUP($B44,'Base de datos'!$A$3:$K$24,10,FALSE),"")))),OR(ISNUMBER(SEARCH("Hach",$B44)),ISNUMBER(SEARCH("Ketamina",$B44))),AND(IFERROR(VLOOKUP($B44,'Base de datos'!$A$3:$K$24,9,FALSE),"")&lt;&gt;"",IFERROR(VLOOKUP($B44,'Base de datos'!$A$3:$K$24,9,FALSE),"")&lt;&gt;0)),"",IFERROR($E44*$C44/$I44,""))</f>
        <v/>
      </c>
      <c r="N44" s="6" t="str">
        <f>IF(OR(OR(UPPER(IFERROR(VLOOKUP($B44,'Base de datos'!$A$3:$K$24,11,FALSE),""))="NO",ISNUMBER(SEARCH("no sometida",IFERROR(VLOOKUP($B44,'Base de datos'!$A$3:$K$24,10,FALSE),""))),ISNUMBER(SEARCH("no fiscal",IFERROR(VLOOKUP($B44,'Base de datos'!$A$3:$K$24,10,FALSE),"")))),OR(ISNUMBER(SEARCH("Hach",$B44)),ISNUMBER(SEARCH("Ketamina",$B44))),AND(IFERROR(VLOOKUP($B44,'Base de datos'!$A$3:$K$24,9,FALSE),"")&lt;&gt;"",IFERROR(VLOOKUP($B44,'Base de datos'!$A$3:$K$24,9,FALSE),"")&lt;&gt;0)),"",IFERROR($E44*$C44/IFERROR(VLOOKUP($B44,'Base de datos'!$A$3:$K$24,5,FALSE),0),""))</f>
        <v/>
      </c>
      <c r="O44" s="6" t="str">
        <f>IF(OR(OR(UPPER(IFERROR(VLOOKUP($B44,'Base de datos'!$A$3:$K$24,11,FALSE),""))="NO",ISNUMBER(SEARCH("no sometida",IFERROR(VLOOKUP($B44,'Base de datos'!$A$3:$K$24,10,FALSE),""))),ISNUMBER(SEARCH("no fiscal",IFERROR(VLOOKUP($B44,'Base de datos'!$A$3:$K$24,10,FALSE),"")))),OR(ISNUMBER(SEARCH("Hach",$B44)),ISNUMBER(SEARCH("Ketamina",$B44))),AND(IFERROR(VLOOKUP($B44,'Base de datos'!$A$3:$K$24,9,FALSE),"")&lt;&gt;"",IFERROR(VLOOKUP($B44,'Base de datos'!$A$3:$K$24,9,FALSE),"")&lt;&gt;0)),"",IFERROR((($E44*$C44/IFERROR(VLOOKUP($B44,'Base de datos'!$A$3:$K$24,3,FALSE),0))*1000)/IFERROR(VLOOKUP($B44,'Base de datos'!$A$3:$K$24,2,FALSE),0),""))</f>
        <v/>
      </c>
    </row>
    <row r="45" spans="1:15" x14ac:dyDescent="0.25">
      <c r="A45" s="4"/>
      <c r="B45" s="4"/>
      <c r="C45" s="5" t="str">
        <f>IFERROR(VLOOKUP($B45,'Base de datos'!$A$3:$K$24,3,FALSE),"")</f>
        <v/>
      </c>
      <c r="D45" s="4" t="str">
        <f t="shared" si="1"/>
        <v/>
      </c>
      <c r="E45" s="6"/>
      <c r="F45" s="7" t="str">
        <f>IF($B45="","",IF(OR(UPPER(IFERROR(VLOOKUP($B45,'Base de datos'!$A$3:$K$24,11,FALSE),""))="NO",ISNUMBER(SEARCH("no sometida",IFERROR(VLOOKUP($B45,'Base de datos'!$A$3:$K$24,10,FALSE),""))),ISNUMBER(SEARCH("no fiscal",IFERROR(VLOOKUP($B45,'Base de datos'!$A$3:$K$24,10,FALSE),"")))),"",IF(OR(OR(ISNUMBER(SEARCH("Hach",$B45)),ISNUMBER(SEARCH("Ketamina",$B45))),AND(IFERROR(VLOOKUP($B45,'Base de datos'!$A$3:$K$24,9,FALSE),"")&lt;&gt;"",IFERROR(VLOOKUP($B45,'Base de datos'!$A$3:$K$24,9,FALSE),"")&lt;&gt;0)),"",IFERROR($M45*VLOOKUP($B45,'Base de datos'!$A$3:$K$24,8,FALSE)/1000,""))))</f>
        <v/>
      </c>
      <c r="G45" s="7" t="str">
        <f>IF($B45="","",IF(OR(UPPER(IFERROR(VLOOKUP($B45,'Base de datos'!$A$3:$K$24,11,FALSE),""))="NO",ISNUMBER(SEARCH("no sometida",IFERROR(VLOOKUP($B45,'Base de datos'!$A$3:$K$24,10,FALSE),""))),ISNUMBER(SEARCH("no fiscal",IFERROR(VLOOKUP($B45,'Base de datos'!$A$3:$K$24,10,FALSE),"")))),"",IFERROR(IF(OR(ISNUMBER(SEARCH("Hach",$B45)),ISNUMBER(SEARCH("Ketamina",$B45))),IF(VLOOKUP($B45,'Base de datos'!$A$3:$K$24,6,FALSE)="","",$E45*VLOOKUP($B45,'Base de datos'!$A$3:$K$24,6,FALSE)),IF(AND(IFERROR(VLOOKUP($B45,'Base de datos'!$A$3:$K$24,9,FALSE),"")&lt;&gt;"",IFERROR(VLOOKUP($B45,'Base de datos'!$A$3:$K$24,9,FALSE),"")&lt;&gt;0),"",IF(VLOOKUP($B45,'Base de datos'!$A$3:$K$24,6,FALSE)="","",$N45*VLOOKUP($B45,'Base de datos'!$A$3:$K$24,6,FALSE)))),"")))</f>
        <v/>
      </c>
      <c r="H45" s="7" t="str">
        <f>IF($B45="","",IF(OR(UPPER(IFERROR(VLOOKUP($B45,'Base de datos'!$A$3:$K$24,11,FALSE),""))="NO",ISNUMBER(SEARCH("no sometida",IFERROR(VLOOKUP($B45,'Base de datos'!$A$3:$K$24,10,FALSE),""))),ISNUMBER(SEARCH("no fiscal",IFERROR(VLOOKUP($B45,'Base de datos'!$A$3:$K$24,10,FALSE),"")))),"",IF(OR(ISNUMBER(SEARCH("Hach",$B45)),ISNUMBER(SEARCH("Ketamina",$B45))),"",IF(AND(IFERROR(VLOOKUP($B45,'Base de datos'!$A$3:$K$24,9,FALSE),"")&lt;&gt;"",IFERROR(VLOOKUP($B45,'Base de datos'!$A$3:$K$24,9,FALSE),"")&lt;&gt;0),$E45*IFERROR(VLOOKUP($B45,'Base de datos'!$A$3:$K$24,9,FALSE),""),IFERROR($O45*VLOOKUP($B45,'Base de datos'!$A$3:$K$24,4,FALSE),"")))))</f>
        <v/>
      </c>
      <c r="I45" s="5" t="str">
        <f>IFERROR(VLOOKUP($B45,'Base de datos'!$A$3:$K$24,7,FALSE),"")</f>
        <v/>
      </c>
      <c r="J45" s="13" t="str">
        <f>IFERROR(VLOOKUP($B45,'Base de datos'!$A$3:$K$24,10,FALSE),"")</f>
        <v/>
      </c>
      <c r="K45" s="6"/>
      <c r="L45" s="4"/>
      <c r="M45" s="6" t="str">
        <f>IF(OR(OR(UPPER(IFERROR(VLOOKUP($B45,'Base de datos'!$A$3:$K$24,11,FALSE),""))="NO",ISNUMBER(SEARCH("no sometida",IFERROR(VLOOKUP($B45,'Base de datos'!$A$3:$K$24,10,FALSE),""))),ISNUMBER(SEARCH("no fiscal",IFERROR(VLOOKUP($B45,'Base de datos'!$A$3:$K$24,10,FALSE),"")))),OR(ISNUMBER(SEARCH("Hach",$B45)),ISNUMBER(SEARCH("Ketamina",$B45))),AND(IFERROR(VLOOKUP($B45,'Base de datos'!$A$3:$K$24,9,FALSE),"")&lt;&gt;"",IFERROR(VLOOKUP($B45,'Base de datos'!$A$3:$K$24,9,FALSE),"")&lt;&gt;0)),"",IFERROR($E45*$C45/$I45,""))</f>
        <v/>
      </c>
      <c r="N45" s="6" t="str">
        <f>IF(OR(OR(UPPER(IFERROR(VLOOKUP($B45,'Base de datos'!$A$3:$K$24,11,FALSE),""))="NO",ISNUMBER(SEARCH("no sometida",IFERROR(VLOOKUP($B45,'Base de datos'!$A$3:$K$24,10,FALSE),""))),ISNUMBER(SEARCH("no fiscal",IFERROR(VLOOKUP($B45,'Base de datos'!$A$3:$K$24,10,FALSE),"")))),OR(ISNUMBER(SEARCH("Hach",$B45)),ISNUMBER(SEARCH("Ketamina",$B45))),AND(IFERROR(VLOOKUP($B45,'Base de datos'!$A$3:$K$24,9,FALSE),"")&lt;&gt;"",IFERROR(VLOOKUP($B45,'Base de datos'!$A$3:$K$24,9,FALSE),"")&lt;&gt;0)),"",IFERROR($E45*$C45/IFERROR(VLOOKUP($B45,'Base de datos'!$A$3:$K$24,5,FALSE),0),""))</f>
        <v/>
      </c>
      <c r="O45" s="6" t="str">
        <f>IF(OR(OR(UPPER(IFERROR(VLOOKUP($B45,'Base de datos'!$A$3:$K$24,11,FALSE),""))="NO",ISNUMBER(SEARCH("no sometida",IFERROR(VLOOKUP($B45,'Base de datos'!$A$3:$K$24,10,FALSE),""))),ISNUMBER(SEARCH("no fiscal",IFERROR(VLOOKUP($B45,'Base de datos'!$A$3:$K$24,10,FALSE),"")))),OR(ISNUMBER(SEARCH("Hach",$B45)),ISNUMBER(SEARCH("Ketamina",$B45))),AND(IFERROR(VLOOKUP($B45,'Base de datos'!$A$3:$K$24,9,FALSE),"")&lt;&gt;"",IFERROR(VLOOKUP($B45,'Base de datos'!$A$3:$K$24,9,FALSE),"")&lt;&gt;0)),"",IFERROR((($E45*$C45/IFERROR(VLOOKUP($B45,'Base de datos'!$A$3:$K$24,3,FALSE),0))*1000)/IFERROR(VLOOKUP($B45,'Base de datos'!$A$3:$K$24,2,FALSE),0),""))</f>
        <v/>
      </c>
    </row>
    <row r="46" spans="1:15" x14ac:dyDescent="0.25">
      <c r="A46" s="4"/>
      <c r="B46" s="4"/>
      <c r="C46" s="5" t="str">
        <f>IFERROR(VLOOKUP($B46,'Base de datos'!$A$3:$K$24,3,FALSE),"")</f>
        <v/>
      </c>
      <c r="D46" s="4" t="str">
        <f t="shared" si="1"/>
        <v/>
      </c>
      <c r="E46" s="6"/>
      <c r="F46" s="7" t="str">
        <f>IF($B46="","",IF(OR(UPPER(IFERROR(VLOOKUP($B46,'Base de datos'!$A$3:$K$24,11,FALSE),""))="NO",ISNUMBER(SEARCH("no sometida",IFERROR(VLOOKUP($B46,'Base de datos'!$A$3:$K$24,10,FALSE),""))),ISNUMBER(SEARCH("no fiscal",IFERROR(VLOOKUP($B46,'Base de datos'!$A$3:$K$24,10,FALSE),"")))),"",IF(OR(OR(ISNUMBER(SEARCH("Hach",$B46)),ISNUMBER(SEARCH("Ketamina",$B46))),AND(IFERROR(VLOOKUP($B46,'Base de datos'!$A$3:$K$24,9,FALSE),"")&lt;&gt;"",IFERROR(VLOOKUP($B46,'Base de datos'!$A$3:$K$24,9,FALSE),"")&lt;&gt;0)),"",IFERROR($M46*VLOOKUP($B46,'Base de datos'!$A$3:$K$24,8,FALSE)/1000,""))))</f>
        <v/>
      </c>
      <c r="G46" s="7" t="str">
        <f>IF($B46="","",IF(OR(UPPER(IFERROR(VLOOKUP($B46,'Base de datos'!$A$3:$K$24,11,FALSE),""))="NO",ISNUMBER(SEARCH("no sometida",IFERROR(VLOOKUP($B46,'Base de datos'!$A$3:$K$24,10,FALSE),""))),ISNUMBER(SEARCH("no fiscal",IFERROR(VLOOKUP($B46,'Base de datos'!$A$3:$K$24,10,FALSE),"")))),"",IFERROR(IF(OR(ISNUMBER(SEARCH("Hach",$B46)),ISNUMBER(SEARCH("Ketamina",$B46))),IF(VLOOKUP($B46,'Base de datos'!$A$3:$K$24,6,FALSE)="","",$E46*VLOOKUP($B46,'Base de datos'!$A$3:$K$24,6,FALSE)),IF(AND(IFERROR(VLOOKUP($B46,'Base de datos'!$A$3:$K$24,9,FALSE),"")&lt;&gt;"",IFERROR(VLOOKUP($B46,'Base de datos'!$A$3:$K$24,9,FALSE),"")&lt;&gt;0),"",IF(VLOOKUP($B46,'Base de datos'!$A$3:$K$24,6,FALSE)="","",$N46*VLOOKUP($B46,'Base de datos'!$A$3:$K$24,6,FALSE)))),"")))</f>
        <v/>
      </c>
      <c r="H46" s="7" t="str">
        <f>IF($B46="","",IF(OR(UPPER(IFERROR(VLOOKUP($B46,'Base de datos'!$A$3:$K$24,11,FALSE),""))="NO",ISNUMBER(SEARCH("no sometida",IFERROR(VLOOKUP($B46,'Base de datos'!$A$3:$K$24,10,FALSE),""))),ISNUMBER(SEARCH("no fiscal",IFERROR(VLOOKUP($B46,'Base de datos'!$A$3:$K$24,10,FALSE),"")))),"",IF(OR(ISNUMBER(SEARCH("Hach",$B46)),ISNUMBER(SEARCH("Ketamina",$B46))),"",IF(AND(IFERROR(VLOOKUP($B46,'Base de datos'!$A$3:$K$24,9,FALSE),"")&lt;&gt;"",IFERROR(VLOOKUP($B46,'Base de datos'!$A$3:$K$24,9,FALSE),"")&lt;&gt;0),$E46*IFERROR(VLOOKUP($B46,'Base de datos'!$A$3:$K$24,9,FALSE),""),IFERROR($O46*VLOOKUP($B46,'Base de datos'!$A$3:$K$24,4,FALSE),"")))))</f>
        <v/>
      </c>
      <c r="I46" s="5" t="str">
        <f>IFERROR(VLOOKUP($B46,'Base de datos'!$A$3:$K$24,7,FALSE),"")</f>
        <v/>
      </c>
      <c r="J46" s="13" t="str">
        <f>IFERROR(VLOOKUP($B46,'Base de datos'!$A$3:$K$24,10,FALSE),"")</f>
        <v/>
      </c>
      <c r="K46" s="6"/>
      <c r="L46" s="4"/>
      <c r="M46" s="6" t="str">
        <f>IF(OR(OR(UPPER(IFERROR(VLOOKUP($B46,'Base de datos'!$A$3:$K$24,11,FALSE),""))="NO",ISNUMBER(SEARCH("no sometida",IFERROR(VLOOKUP($B46,'Base de datos'!$A$3:$K$24,10,FALSE),""))),ISNUMBER(SEARCH("no fiscal",IFERROR(VLOOKUP($B46,'Base de datos'!$A$3:$K$24,10,FALSE),"")))),OR(ISNUMBER(SEARCH("Hach",$B46)),ISNUMBER(SEARCH("Ketamina",$B46))),AND(IFERROR(VLOOKUP($B46,'Base de datos'!$A$3:$K$24,9,FALSE),"")&lt;&gt;"",IFERROR(VLOOKUP($B46,'Base de datos'!$A$3:$K$24,9,FALSE),"")&lt;&gt;0)),"",IFERROR($E46*$C46/$I46,""))</f>
        <v/>
      </c>
      <c r="N46" s="6" t="str">
        <f>IF(OR(OR(UPPER(IFERROR(VLOOKUP($B46,'Base de datos'!$A$3:$K$24,11,FALSE),""))="NO",ISNUMBER(SEARCH("no sometida",IFERROR(VLOOKUP($B46,'Base de datos'!$A$3:$K$24,10,FALSE),""))),ISNUMBER(SEARCH("no fiscal",IFERROR(VLOOKUP($B46,'Base de datos'!$A$3:$K$24,10,FALSE),"")))),OR(ISNUMBER(SEARCH("Hach",$B46)),ISNUMBER(SEARCH("Ketamina",$B46))),AND(IFERROR(VLOOKUP($B46,'Base de datos'!$A$3:$K$24,9,FALSE),"")&lt;&gt;"",IFERROR(VLOOKUP($B46,'Base de datos'!$A$3:$K$24,9,FALSE),"")&lt;&gt;0)),"",IFERROR($E46*$C46/IFERROR(VLOOKUP($B46,'Base de datos'!$A$3:$K$24,5,FALSE),0),""))</f>
        <v/>
      </c>
      <c r="O46" s="6" t="str">
        <f>IF(OR(OR(UPPER(IFERROR(VLOOKUP($B46,'Base de datos'!$A$3:$K$24,11,FALSE),""))="NO",ISNUMBER(SEARCH("no sometida",IFERROR(VLOOKUP($B46,'Base de datos'!$A$3:$K$24,10,FALSE),""))),ISNUMBER(SEARCH("no fiscal",IFERROR(VLOOKUP($B46,'Base de datos'!$A$3:$K$24,10,FALSE),"")))),OR(ISNUMBER(SEARCH("Hach",$B46)),ISNUMBER(SEARCH("Ketamina",$B46))),AND(IFERROR(VLOOKUP($B46,'Base de datos'!$A$3:$K$24,9,FALSE),"")&lt;&gt;"",IFERROR(VLOOKUP($B46,'Base de datos'!$A$3:$K$24,9,FALSE),"")&lt;&gt;0)),"",IFERROR((($E46*$C46/IFERROR(VLOOKUP($B46,'Base de datos'!$A$3:$K$24,3,FALSE),0))*1000)/IFERROR(VLOOKUP($B46,'Base de datos'!$A$3:$K$24,2,FALSE),0),""))</f>
        <v/>
      </c>
    </row>
    <row r="47" spans="1:15" x14ac:dyDescent="0.25">
      <c r="A47" s="4"/>
      <c r="B47" s="4"/>
      <c r="C47" s="5" t="str">
        <f>IFERROR(VLOOKUP($B47,'Base de datos'!$A$3:$K$24,3,FALSE),"")</f>
        <v/>
      </c>
      <c r="D47" s="4" t="str">
        <f t="shared" si="1"/>
        <v/>
      </c>
      <c r="E47" s="6"/>
      <c r="F47" s="7" t="str">
        <f>IF($B47="","",IF(OR(UPPER(IFERROR(VLOOKUP($B47,'Base de datos'!$A$3:$K$24,11,FALSE),""))="NO",ISNUMBER(SEARCH("no sometida",IFERROR(VLOOKUP($B47,'Base de datos'!$A$3:$K$24,10,FALSE),""))),ISNUMBER(SEARCH("no fiscal",IFERROR(VLOOKUP($B47,'Base de datos'!$A$3:$K$24,10,FALSE),"")))),"",IF(OR(OR(ISNUMBER(SEARCH("Hach",$B47)),ISNUMBER(SEARCH("Ketamina",$B47))),AND(IFERROR(VLOOKUP($B47,'Base de datos'!$A$3:$K$24,9,FALSE),"")&lt;&gt;"",IFERROR(VLOOKUP($B47,'Base de datos'!$A$3:$K$24,9,FALSE),"")&lt;&gt;0)),"",IFERROR($M47*VLOOKUP($B47,'Base de datos'!$A$3:$K$24,8,FALSE)/1000,""))))</f>
        <v/>
      </c>
      <c r="G47" s="7" t="str">
        <f>IF($B47="","",IF(OR(UPPER(IFERROR(VLOOKUP($B47,'Base de datos'!$A$3:$K$24,11,FALSE),""))="NO",ISNUMBER(SEARCH("no sometida",IFERROR(VLOOKUP($B47,'Base de datos'!$A$3:$K$24,10,FALSE),""))),ISNUMBER(SEARCH("no fiscal",IFERROR(VLOOKUP($B47,'Base de datos'!$A$3:$K$24,10,FALSE),"")))),"",IFERROR(IF(OR(ISNUMBER(SEARCH("Hach",$B47)),ISNUMBER(SEARCH("Ketamina",$B47))),IF(VLOOKUP($B47,'Base de datos'!$A$3:$K$24,6,FALSE)="","",$E47*VLOOKUP($B47,'Base de datos'!$A$3:$K$24,6,FALSE)),IF(AND(IFERROR(VLOOKUP($B47,'Base de datos'!$A$3:$K$24,9,FALSE),"")&lt;&gt;"",IFERROR(VLOOKUP($B47,'Base de datos'!$A$3:$K$24,9,FALSE),"")&lt;&gt;0),"",IF(VLOOKUP($B47,'Base de datos'!$A$3:$K$24,6,FALSE)="","",$N47*VLOOKUP($B47,'Base de datos'!$A$3:$K$24,6,FALSE)))),"")))</f>
        <v/>
      </c>
      <c r="H47" s="7" t="str">
        <f>IF($B47="","",IF(OR(UPPER(IFERROR(VLOOKUP($B47,'Base de datos'!$A$3:$K$24,11,FALSE),""))="NO",ISNUMBER(SEARCH("no sometida",IFERROR(VLOOKUP($B47,'Base de datos'!$A$3:$K$24,10,FALSE),""))),ISNUMBER(SEARCH("no fiscal",IFERROR(VLOOKUP($B47,'Base de datos'!$A$3:$K$24,10,FALSE),"")))),"",IF(OR(ISNUMBER(SEARCH("Hach",$B47)),ISNUMBER(SEARCH("Ketamina",$B47))),"",IF(AND(IFERROR(VLOOKUP($B47,'Base de datos'!$A$3:$K$24,9,FALSE),"")&lt;&gt;"",IFERROR(VLOOKUP($B47,'Base de datos'!$A$3:$K$24,9,FALSE),"")&lt;&gt;0),$E47*IFERROR(VLOOKUP($B47,'Base de datos'!$A$3:$K$24,9,FALSE),""),IFERROR($O47*VLOOKUP($B47,'Base de datos'!$A$3:$K$24,4,FALSE),"")))))</f>
        <v/>
      </c>
      <c r="I47" s="5" t="str">
        <f>IFERROR(VLOOKUP($B47,'Base de datos'!$A$3:$K$24,7,FALSE),"")</f>
        <v/>
      </c>
      <c r="J47" s="13" t="str">
        <f>IFERROR(VLOOKUP($B47,'Base de datos'!$A$3:$K$24,10,FALSE),"")</f>
        <v/>
      </c>
      <c r="K47" s="6"/>
      <c r="L47" s="4"/>
      <c r="M47" s="6" t="str">
        <f>IF(OR(OR(UPPER(IFERROR(VLOOKUP($B47,'Base de datos'!$A$3:$K$24,11,FALSE),""))="NO",ISNUMBER(SEARCH("no sometida",IFERROR(VLOOKUP($B47,'Base de datos'!$A$3:$K$24,10,FALSE),""))),ISNUMBER(SEARCH("no fiscal",IFERROR(VLOOKUP($B47,'Base de datos'!$A$3:$K$24,10,FALSE),"")))),OR(ISNUMBER(SEARCH("Hach",$B47)),ISNUMBER(SEARCH("Ketamina",$B47))),AND(IFERROR(VLOOKUP($B47,'Base de datos'!$A$3:$K$24,9,FALSE),"")&lt;&gt;"",IFERROR(VLOOKUP($B47,'Base de datos'!$A$3:$K$24,9,FALSE),"")&lt;&gt;0)),"",IFERROR($E47*$C47/$I47,""))</f>
        <v/>
      </c>
      <c r="N47" s="6" t="str">
        <f>IF(OR(OR(UPPER(IFERROR(VLOOKUP($B47,'Base de datos'!$A$3:$K$24,11,FALSE),""))="NO",ISNUMBER(SEARCH("no sometida",IFERROR(VLOOKUP($B47,'Base de datos'!$A$3:$K$24,10,FALSE),""))),ISNUMBER(SEARCH("no fiscal",IFERROR(VLOOKUP($B47,'Base de datos'!$A$3:$K$24,10,FALSE),"")))),OR(ISNUMBER(SEARCH("Hach",$B47)),ISNUMBER(SEARCH("Ketamina",$B47))),AND(IFERROR(VLOOKUP($B47,'Base de datos'!$A$3:$K$24,9,FALSE),"")&lt;&gt;"",IFERROR(VLOOKUP($B47,'Base de datos'!$A$3:$K$24,9,FALSE),"")&lt;&gt;0)),"",IFERROR($E47*$C47/IFERROR(VLOOKUP($B47,'Base de datos'!$A$3:$K$24,5,FALSE),0),""))</f>
        <v/>
      </c>
      <c r="O47" s="6" t="str">
        <f>IF(OR(OR(UPPER(IFERROR(VLOOKUP($B47,'Base de datos'!$A$3:$K$24,11,FALSE),""))="NO",ISNUMBER(SEARCH("no sometida",IFERROR(VLOOKUP($B47,'Base de datos'!$A$3:$K$24,10,FALSE),""))),ISNUMBER(SEARCH("no fiscal",IFERROR(VLOOKUP($B47,'Base de datos'!$A$3:$K$24,10,FALSE),"")))),OR(ISNUMBER(SEARCH("Hach",$B47)),ISNUMBER(SEARCH("Ketamina",$B47))),AND(IFERROR(VLOOKUP($B47,'Base de datos'!$A$3:$K$24,9,FALSE),"")&lt;&gt;"",IFERROR(VLOOKUP($B47,'Base de datos'!$A$3:$K$24,9,FALSE),"")&lt;&gt;0)),"",IFERROR((($E47*$C47/IFERROR(VLOOKUP($B47,'Base de datos'!$A$3:$K$24,3,FALSE),0))*1000)/IFERROR(VLOOKUP($B47,'Base de datos'!$A$3:$K$24,2,FALSE),0),""))</f>
        <v/>
      </c>
    </row>
    <row r="48" spans="1:15" x14ac:dyDescent="0.25">
      <c r="A48" s="4"/>
      <c r="B48" s="4"/>
      <c r="C48" s="5" t="str">
        <f>IFERROR(VLOOKUP($B48,'Base de datos'!$A$3:$K$24,3,FALSE),"")</f>
        <v/>
      </c>
      <c r="D48" s="4" t="str">
        <f t="shared" si="1"/>
        <v/>
      </c>
      <c r="E48" s="6"/>
      <c r="F48" s="7" t="str">
        <f>IF($B48="","",IF(OR(UPPER(IFERROR(VLOOKUP($B48,'Base de datos'!$A$3:$K$24,11,FALSE),""))="NO",ISNUMBER(SEARCH("no sometida",IFERROR(VLOOKUP($B48,'Base de datos'!$A$3:$K$24,10,FALSE),""))),ISNUMBER(SEARCH("no fiscal",IFERROR(VLOOKUP($B48,'Base de datos'!$A$3:$K$24,10,FALSE),"")))),"",IF(OR(OR(ISNUMBER(SEARCH("Hach",$B48)),ISNUMBER(SEARCH("Ketamina",$B48))),AND(IFERROR(VLOOKUP($B48,'Base de datos'!$A$3:$K$24,9,FALSE),"")&lt;&gt;"",IFERROR(VLOOKUP($B48,'Base de datos'!$A$3:$K$24,9,FALSE),"")&lt;&gt;0)),"",IFERROR($M48*VLOOKUP($B48,'Base de datos'!$A$3:$K$24,8,FALSE)/1000,""))))</f>
        <v/>
      </c>
      <c r="G48" s="7" t="str">
        <f>IF($B48="","",IF(OR(UPPER(IFERROR(VLOOKUP($B48,'Base de datos'!$A$3:$K$24,11,FALSE),""))="NO",ISNUMBER(SEARCH("no sometida",IFERROR(VLOOKUP($B48,'Base de datos'!$A$3:$K$24,10,FALSE),""))),ISNUMBER(SEARCH("no fiscal",IFERROR(VLOOKUP($B48,'Base de datos'!$A$3:$K$24,10,FALSE),"")))),"",IFERROR(IF(OR(ISNUMBER(SEARCH("Hach",$B48)),ISNUMBER(SEARCH("Ketamina",$B48))),IF(VLOOKUP($B48,'Base de datos'!$A$3:$K$24,6,FALSE)="","",$E48*VLOOKUP($B48,'Base de datos'!$A$3:$K$24,6,FALSE)),IF(AND(IFERROR(VLOOKUP($B48,'Base de datos'!$A$3:$K$24,9,FALSE),"")&lt;&gt;"",IFERROR(VLOOKUP($B48,'Base de datos'!$A$3:$K$24,9,FALSE),"")&lt;&gt;0),"",IF(VLOOKUP($B48,'Base de datos'!$A$3:$K$24,6,FALSE)="","",$N48*VLOOKUP($B48,'Base de datos'!$A$3:$K$24,6,FALSE)))),"")))</f>
        <v/>
      </c>
      <c r="H48" s="7" t="str">
        <f>IF($B48="","",IF(OR(UPPER(IFERROR(VLOOKUP($B48,'Base de datos'!$A$3:$K$24,11,FALSE),""))="NO",ISNUMBER(SEARCH("no sometida",IFERROR(VLOOKUP($B48,'Base de datos'!$A$3:$K$24,10,FALSE),""))),ISNUMBER(SEARCH("no fiscal",IFERROR(VLOOKUP($B48,'Base de datos'!$A$3:$K$24,10,FALSE),"")))),"",IF(OR(ISNUMBER(SEARCH("Hach",$B48)),ISNUMBER(SEARCH("Ketamina",$B48))),"",IF(AND(IFERROR(VLOOKUP($B48,'Base de datos'!$A$3:$K$24,9,FALSE),"")&lt;&gt;"",IFERROR(VLOOKUP($B48,'Base de datos'!$A$3:$K$24,9,FALSE),"")&lt;&gt;0),$E48*IFERROR(VLOOKUP($B48,'Base de datos'!$A$3:$K$24,9,FALSE),""),IFERROR($O48*VLOOKUP($B48,'Base de datos'!$A$3:$K$24,4,FALSE),"")))))</f>
        <v/>
      </c>
      <c r="I48" s="5" t="str">
        <f>IFERROR(VLOOKUP($B48,'Base de datos'!$A$3:$K$24,7,FALSE),"")</f>
        <v/>
      </c>
      <c r="J48" s="13" t="str">
        <f>IFERROR(VLOOKUP($B48,'Base de datos'!$A$3:$K$24,10,FALSE),"")</f>
        <v/>
      </c>
      <c r="K48" s="6"/>
      <c r="L48" s="4"/>
      <c r="M48" s="6" t="str">
        <f>IF(OR(OR(UPPER(IFERROR(VLOOKUP($B48,'Base de datos'!$A$3:$K$24,11,FALSE),""))="NO",ISNUMBER(SEARCH("no sometida",IFERROR(VLOOKUP($B48,'Base de datos'!$A$3:$K$24,10,FALSE),""))),ISNUMBER(SEARCH("no fiscal",IFERROR(VLOOKUP($B48,'Base de datos'!$A$3:$K$24,10,FALSE),"")))),OR(ISNUMBER(SEARCH("Hach",$B48)),ISNUMBER(SEARCH("Ketamina",$B48))),AND(IFERROR(VLOOKUP($B48,'Base de datos'!$A$3:$K$24,9,FALSE),"")&lt;&gt;"",IFERROR(VLOOKUP($B48,'Base de datos'!$A$3:$K$24,9,FALSE),"")&lt;&gt;0)),"",IFERROR($E48*$C48/$I48,""))</f>
        <v/>
      </c>
      <c r="N48" s="6" t="str">
        <f>IF(OR(OR(UPPER(IFERROR(VLOOKUP($B48,'Base de datos'!$A$3:$K$24,11,FALSE),""))="NO",ISNUMBER(SEARCH("no sometida",IFERROR(VLOOKUP($B48,'Base de datos'!$A$3:$K$24,10,FALSE),""))),ISNUMBER(SEARCH("no fiscal",IFERROR(VLOOKUP($B48,'Base de datos'!$A$3:$K$24,10,FALSE),"")))),OR(ISNUMBER(SEARCH("Hach",$B48)),ISNUMBER(SEARCH("Ketamina",$B48))),AND(IFERROR(VLOOKUP($B48,'Base de datos'!$A$3:$K$24,9,FALSE),"")&lt;&gt;"",IFERROR(VLOOKUP($B48,'Base de datos'!$A$3:$K$24,9,FALSE),"")&lt;&gt;0)),"",IFERROR($E48*$C48/IFERROR(VLOOKUP($B48,'Base de datos'!$A$3:$K$24,5,FALSE),0),""))</f>
        <v/>
      </c>
      <c r="O48" s="6" t="str">
        <f>IF(OR(OR(UPPER(IFERROR(VLOOKUP($B48,'Base de datos'!$A$3:$K$24,11,FALSE),""))="NO",ISNUMBER(SEARCH("no sometida",IFERROR(VLOOKUP($B48,'Base de datos'!$A$3:$K$24,10,FALSE),""))),ISNUMBER(SEARCH("no fiscal",IFERROR(VLOOKUP($B48,'Base de datos'!$A$3:$K$24,10,FALSE),"")))),OR(ISNUMBER(SEARCH("Hach",$B48)),ISNUMBER(SEARCH("Ketamina",$B48))),AND(IFERROR(VLOOKUP($B48,'Base de datos'!$A$3:$K$24,9,FALSE),"")&lt;&gt;"",IFERROR(VLOOKUP($B48,'Base de datos'!$A$3:$K$24,9,FALSE),"")&lt;&gt;0)),"",IFERROR((($E48*$C48/IFERROR(VLOOKUP($B48,'Base de datos'!$A$3:$K$24,3,FALSE),0))*1000)/IFERROR(VLOOKUP($B48,'Base de datos'!$A$3:$K$24,2,FALSE),0),""))</f>
        <v/>
      </c>
    </row>
    <row r="49" spans="1:15" x14ac:dyDescent="0.25">
      <c r="A49" s="4"/>
      <c r="B49" s="4"/>
      <c r="C49" s="5" t="str">
        <f>IFERROR(VLOOKUP($B49,'Base de datos'!$A$3:$K$24,3,FALSE),"")</f>
        <v/>
      </c>
      <c r="D49" s="4" t="str">
        <f t="shared" si="1"/>
        <v/>
      </c>
      <c r="E49" s="6"/>
      <c r="F49" s="7" t="str">
        <f>IF($B49="","",IF(OR(UPPER(IFERROR(VLOOKUP($B49,'Base de datos'!$A$3:$K$24,11,FALSE),""))="NO",ISNUMBER(SEARCH("no sometida",IFERROR(VLOOKUP($B49,'Base de datos'!$A$3:$K$24,10,FALSE),""))),ISNUMBER(SEARCH("no fiscal",IFERROR(VLOOKUP($B49,'Base de datos'!$A$3:$K$24,10,FALSE),"")))),"",IF(OR(OR(ISNUMBER(SEARCH("Hach",$B49)),ISNUMBER(SEARCH("Ketamina",$B49))),AND(IFERROR(VLOOKUP($B49,'Base de datos'!$A$3:$K$24,9,FALSE),"")&lt;&gt;"",IFERROR(VLOOKUP($B49,'Base de datos'!$A$3:$K$24,9,FALSE),"")&lt;&gt;0)),"",IFERROR($M49*VLOOKUP($B49,'Base de datos'!$A$3:$K$24,8,FALSE)/1000,""))))</f>
        <v/>
      </c>
      <c r="G49" s="7" t="str">
        <f>IF($B49="","",IF(OR(UPPER(IFERROR(VLOOKUP($B49,'Base de datos'!$A$3:$K$24,11,FALSE),""))="NO",ISNUMBER(SEARCH("no sometida",IFERROR(VLOOKUP($B49,'Base de datos'!$A$3:$K$24,10,FALSE),""))),ISNUMBER(SEARCH("no fiscal",IFERROR(VLOOKUP($B49,'Base de datos'!$A$3:$K$24,10,FALSE),"")))),"",IFERROR(IF(OR(ISNUMBER(SEARCH("Hach",$B49)),ISNUMBER(SEARCH("Ketamina",$B49))),IF(VLOOKUP($B49,'Base de datos'!$A$3:$K$24,6,FALSE)="","",$E49*VLOOKUP($B49,'Base de datos'!$A$3:$K$24,6,FALSE)),IF(AND(IFERROR(VLOOKUP($B49,'Base de datos'!$A$3:$K$24,9,FALSE),"")&lt;&gt;"",IFERROR(VLOOKUP($B49,'Base de datos'!$A$3:$K$24,9,FALSE),"")&lt;&gt;0),"",IF(VLOOKUP($B49,'Base de datos'!$A$3:$K$24,6,FALSE)="","",$N49*VLOOKUP($B49,'Base de datos'!$A$3:$K$24,6,FALSE)))),"")))</f>
        <v/>
      </c>
      <c r="H49" s="7" t="str">
        <f>IF($B49="","",IF(OR(UPPER(IFERROR(VLOOKUP($B49,'Base de datos'!$A$3:$K$24,11,FALSE),""))="NO",ISNUMBER(SEARCH("no sometida",IFERROR(VLOOKUP($B49,'Base de datos'!$A$3:$K$24,10,FALSE),""))),ISNUMBER(SEARCH("no fiscal",IFERROR(VLOOKUP($B49,'Base de datos'!$A$3:$K$24,10,FALSE),"")))),"",IF(OR(ISNUMBER(SEARCH("Hach",$B49)),ISNUMBER(SEARCH("Ketamina",$B49))),"",IF(AND(IFERROR(VLOOKUP($B49,'Base de datos'!$A$3:$K$24,9,FALSE),"")&lt;&gt;"",IFERROR(VLOOKUP($B49,'Base de datos'!$A$3:$K$24,9,FALSE),"")&lt;&gt;0),$E49*IFERROR(VLOOKUP($B49,'Base de datos'!$A$3:$K$24,9,FALSE),""),IFERROR($O49*VLOOKUP($B49,'Base de datos'!$A$3:$K$24,4,FALSE),"")))))</f>
        <v/>
      </c>
      <c r="I49" s="5" t="str">
        <f>IFERROR(VLOOKUP($B49,'Base de datos'!$A$3:$K$24,7,FALSE),"")</f>
        <v/>
      </c>
      <c r="J49" s="13" t="str">
        <f>IFERROR(VLOOKUP($B49,'Base de datos'!$A$3:$K$24,10,FALSE),"")</f>
        <v/>
      </c>
      <c r="K49" s="6"/>
      <c r="L49" s="4"/>
      <c r="M49" s="6" t="str">
        <f>IF(OR(OR(UPPER(IFERROR(VLOOKUP($B49,'Base de datos'!$A$3:$K$24,11,FALSE),""))="NO",ISNUMBER(SEARCH("no sometida",IFERROR(VLOOKUP($B49,'Base de datos'!$A$3:$K$24,10,FALSE),""))),ISNUMBER(SEARCH("no fiscal",IFERROR(VLOOKUP($B49,'Base de datos'!$A$3:$K$24,10,FALSE),"")))),OR(ISNUMBER(SEARCH("Hach",$B49)),ISNUMBER(SEARCH("Ketamina",$B49))),AND(IFERROR(VLOOKUP($B49,'Base de datos'!$A$3:$K$24,9,FALSE),"")&lt;&gt;"",IFERROR(VLOOKUP($B49,'Base de datos'!$A$3:$K$24,9,FALSE),"")&lt;&gt;0)),"",IFERROR($E49*$C49/$I49,""))</f>
        <v/>
      </c>
      <c r="N49" s="6" t="str">
        <f>IF(OR(OR(UPPER(IFERROR(VLOOKUP($B49,'Base de datos'!$A$3:$K$24,11,FALSE),""))="NO",ISNUMBER(SEARCH("no sometida",IFERROR(VLOOKUP($B49,'Base de datos'!$A$3:$K$24,10,FALSE),""))),ISNUMBER(SEARCH("no fiscal",IFERROR(VLOOKUP($B49,'Base de datos'!$A$3:$K$24,10,FALSE),"")))),OR(ISNUMBER(SEARCH("Hach",$B49)),ISNUMBER(SEARCH("Ketamina",$B49))),AND(IFERROR(VLOOKUP($B49,'Base de datos'!$A$3:$K$24,9,FALSE),"")&lt;&gt;"",IFERROR(VLOOKUP($B49,'Base de datos'!$A$3:$K$24,9,FALSE),"")&lt;&gt;0)),"",IFERROR($E49*$C49/IFERROR(VLOOKUP($B49,'Base de datos'!$A$3:$K$24,5,FALSE),0),""))</f>
        <v/>
      </c>
      <c r="O49" s="6" t="str">
        <f>IF(OR(OR(UPPER(IFERROR(VLOOKUP($B49,'Base de datos'!$A$3:$K$24,11,FALSE),""))="NO",ISNUMBER(SEARCH("no sometida",IFERROR(VLOOKUP($B49,'Base de datos'!$A$3:$K$24,10,FALSE),""))),ISNUMBER(SEARCH("no fiscal",IFERROR(VLOOKUP($B49,'Base de datos'!$A$3:$K$24,10,FALSE),"")))),OR(ISNUMBER(SEARCH("Hach",$B49)),ISNUMBER(SEARCH("Ketamina",$B49))),AND(IFERROR(VLOOKUP($B49,'Base de datos'!$A$3:$K$24,9,FALSE),"")&lt;&gt;"",IFERROR(VLOOKUP($B49,'Base de datos'!$A$3:$K$24,9,FALSE),"")&lt;&gt;0)),"",IFERROR((($E49*$C49/IFERROR(VLOOKUP($B49,'Base de datos'!$A$3:$K$24,3,FALSE),0))*1000)/IFERROR(VLOOKUP($B49,'Base de datos'!$A$3:$K$24,2,FALSE),0),""))</f>
        <v/>
      </c>
    </row>
    <row r="50" spans="1:15" x14ac:dyDescent="0.25">
      <c r="A50" s="4"/>
      <c r="B50" s="4"/>
      <c r="C50" s="5" t="str">
        <f>IFERROR(VLOOKUP($B50,'Base de datos'!$A$3:$K$24,3,FALSE),"")</f>
        <v/>
      </c>
      <c r="D50" s="4" t="str">
        <f t="shared" si="1"/>
        <v/>
      </c>
      <c r="E50" s="6"/>
      <c r="F50" s="7" t="str">
        <f>IF($B50="","",IF(OR(UPPER(IFERROR(VLOOKUP($B50,'Base de datos'!$A$3:$K$24,11,FALSE),""))="NO",ISNUMBER(SEARCH("no sometida",IFERROR(VLOOKUP($B50,'Base de datos'!$A$3:$K$24,10,FALSE),""))),ISNUMBER(SEARCH("no fiscal",IFERROR(VLOOKUP($B50,'Base de datos'!$A$3:$K$24,10,FALSE),"")))),"",IF(OR(OR(ISNUMBER(SEARCH("Hach",$B50)),ISNUMBER(SEARCH("Ketamina",$B50))),AND(IFERROR(VLOOKUP($B50,'Base de datos'!$A$3:$K$24,9,FALSE),"")&lt;&gt;"",IFERROR(VLOOKUP($B50,'Base de datos'!$A$3:$K$24,9,FALSE),"")&lt;&gt;0)),"",IFERROR($M50*VLOOKUP($B50,'Base de datos'!$A$3:$K$24,8,FALSE)/1000,""))))</f>
        <v/>
      </c>
      <c r="G50" s="7" t="str">
        <f>IF($B50="","",IF(OR(UPPER(IFERROR(VLOOKUP($B50,'Base de datos'!$A$3:$K$24,11,FALSE),""))="NO",ISNUMBER(SEARCH("no sometida",IFERROR(VLOOKUP($B50,'Base de datos'!$A$3:$K$24,10,FALSE),""))),ISNUMBER(SEARCH("no fiscal",IFERROR(VLOOKUP($B50,'Base de datos'!$A$3:$K$24,10,FALSE),"")))),"",IFERROR(IF(OR(ISNUMBER(SEARCH("Hach",$B50)),ISNUMBER(SEARCH("Ketamina",$B50))),IF(VLOOKUP($B50,'Base de datos'!$A$3:$K$24,6,FALSE)="","",$E50*VLOOKUP($B50,'Base de datos'!$A$3:$K$24,6,FALSE)),IF(AND(IFERROR(VLOOKUP($B50,'Base de datos'!$A$3:$K$24,9,FALSE),"")&lt;&gt;"",IFERROR(VLOOKUP($B50,'Base de datos'!$A$3:$K$24,9,FALSE),"")&lt;&gt;0),"",IF(VLOOKUP($B50,'Base de datos'!$A$3:$K$24,6,FALSE)="","",$N50*VLOOKUP($B50,'Base de datos'!$A$3:$K$24,6,FALSE)))),"")))</f>
        <v/>
      </c>
      <c r="H50" s="7" t="str">
        <f>IF($B50="","",IF(OR(UPPER(IFERROR(VLOOKUP($B50,'Base de datos'!$A$3:$K$24,11,FALSE),""))="NO",ISNUMBER(SEARCH("no sometida",IFERROR(VLOOKUP($B50,'Base de datos'!$A$3:$K$24,10,FALSE),""))),ISNUMBER(SEARCH("no fiscal",IFERROR(VLOOKUP($B50,'Base de datos'!$A$3:$K$24,10,FALSE),"")))),"",IF(OR(ISNUMBER(SEARCH("Hach",$B50)),ISNUMBER(SEARCH("Ketamina",$B50))),"",IF(AND(IFERROR(VLOOKUP($B50,'Base de datos'!$A$3:$K$24,9,FALSE),"")&lt;&gt;"",IFERROR(VLOOKUP($B50,'Base de datos'!$A$3:$K$24,9,FALSE),"")&lt;&gt;0),$E50*IFERROR(VLOOKUP($B50,'Base de datos'!$A$3:$K$24,9,FALSE),""),IFERROR($O50*VLOOKUP($B50,'Base de datos'!$A$3:$K$24,4,FALSE),"")))))</f>
        <v/>
      </c>
      <c r="I50" s="5" t="str">
        <f>IFERROR(VLOOKUP($B50,'Base de datos'!$A$3:$K$24,7,FALSE),"")</f>
        <v/>
      </c>
      <c r="J50" s="13" t="str">
        <f>IFERROR(VLOOKUP($B50,'Base de datos'!$A$3:$K$24,10,FALSE),"")</f>
        <v/>
      </c>
      <c r="K50" s="6"/>
      <c r="L50" s="4"/>
      <c r="M50" s="6" t="str">
        <f>IF(OR(OR(UPPER(IFERROR(VLOOKUP($B50,'Base de datos'!$A$3:$K$24,11,FALSE),""))="NO",ISNUMBER(SEARCH("no sometida",IFERROR(VLOOKUP($B50,'Base de datos'!$A$3:$K$24,10,FALSE),""))),ISNUMBER(SEARCH("no fiscal",IFERROR(VLOOKUP($B50,'Base de datos'!$A$3:$K$24,10,FALSE),"")))),OR(ISNUMBER(SEARCH("Hach",$B50)),ISNUMBER(SEARCH("Ketamina",$B50))),AND(IFERROR(VLOOKUP($B50,'Base de datos'!$A$3:$K$24,9,FALSE),"")&lt;&gt;"",IFERROR(VLOOKUP($B50,'Base de datos'!$A$3:$K$24,9,FALSE),"")&lt;&gt;0)),"",IFERROR($E50*$C50/$I50,""))</f>
        <v/>
      </c>
      <c r="N50" s="6" t="str">
        <f>IF(OR(OR(UPPER(IFERROR(VLOOKUP($B50,'Base de datos'!$A$3:$K$24,11,FALSE),""))="NO",ISNUMBER(SEARCH("no sometida",IFERROR(VLOOKUP($B50,'Base de datos'!$A$3:$K$24,10,FALSE),""))),ISNUMBER(SEARCH("no fiscal",IFERROR(VLOOKUP($B50,'Base de datos'!$A$3:$K$24,10,FALSE),"")))),OR(ISNUMBER(SEARCH("Hach",$B50)),ISNUMBER(SEARCH("Ketamina",$B50))),AND(IFERROR(VLOOKUP($B50,'Base de datos'!$A$3:$K$24,9,FALSE),"")&lt;&gt;"",IFERROR(VLOOKUP($B50,'Base de datos'!$A$3:$K$24,9,FALSE),"")&lt;&gt;0)),"",IFERROR($E50*$C50/IFERROR(VLOOKUP($B50,'Base de datos'!$A$3:$K$24,5,FALSE),0),""))</f>
        <v/>
      </c>
      <c r="O50" s="6" t="str">
        <f>IF(OR(OR(UPPER(IFERROR(VLOOKUP($B50,'Base de datos'!$A$3:$K$24,11,FALSE),""))="NO",ISNUMBER(SEARCH("no sometida",IFERROR(VLOOKUP($B50,'Base de datos'!$A$3:$K$24,10,FALSE),""))),ISNUMBER(SEARCH("no fiscal",IFERROR(VLOOKUP($B50,'Base de datos'!$A$3:$K$24,10,FALSE),"")))),OR(ISNUMBER(SEARCH("Hach",$B50)),ISNUMBER(SEARCH("Ketamina",$B50))),AND(IFERROR(VLOOKUP($B50,'Base de datos'!$A$3:$K$24,9,FALSE),"")&lt;&gt;"",IFERROR(VLOOKUP($B50,'Base de datos'!$A$3:$K$24,9,FALSE),"")&lt;&gt;0)),"",IFERROR((($E50*$C50/IFERROR(VLOOKUP($B50,'Base de datos'!$A$3:$K$24,3,FALSE),0))*1000)/IFERROR(VLOOKUP($B50,'Base de datos'!$A$3:$K$24,2,FALSE),0),""))</f>
        <v/>
      </c>
    </row>
    <row r="51" spans="1:15" x14ac:dyDescent="0.25">
      <c r="A51" s="4"/>
      <c r="B51" s="4"/>
      <c r="C51" s="5" t="str">
        <f>IFERROR(VLOOKUP($B51,'Base de datos'!$A$3:$K$24,3,FALSE),"")</f>
        <v/>
      </c>
      <c r="D51" s="4" t="str">
        <f t="shared" si="1"/>
        <v/>
      </c>
      <c r="E51" s="6"/>
      <c r="F51" s="7" t="str">
        <f>IF($B51="","",IF(OR(UPPER(IFERROR(VLOOKUP($B51,'Base de datos'!$A$3:$K$24,11,FALSE),""))="NO",ISNUMBER(SEARCH("no sometida",IFERROR(VLOOKUP($B51,'Base de datos'!$A$3:$K$24,10,FALSE),""))),ISNUMBER(SEARCH("no fiscal",IFERROR(VLOOKUP($B51,'Base de datos'!$A$3:$K$24,10,FALSE),"")))),"",IF(OR(OR(ISNUMBER(SEARCH("Hach",$B51)),ISNUMBER(SEARCH("Ketamina",$B51))),AND(IFERROR(VLOOKUP($B51,'Base de datos'!$A$3:$K$24,9,FALSE),"")&lt;&gt;"",IFERROR(VLOOKUP($B51,'Base de datos'!$A$3:$K$24,9,FALSE),"")&lt;&gt;0)),"",IFERROR($M51*VLOOKUP($B51,'Base de datos'!$A$3:$K$24,8,FALSE)/1000,""))))</f>
        <v/>
      </c>
      <c r="G51" s="7" t="str">
        <f>IF($B51="","",IF(OR(UPPER(IFERROR(VLOOKUP($B51,'Base de datos'!$A$3:$K$24,11,FALSE),""))="NO",ISNUMBER(SEARCH("no sometida",IFERROR(VLOOKUP($B51,'Base de datos'!$A$3:$K$24,10,FALSE),""))),ISNUMBER(SEARCH("no fiscal",IFERROR(VLOOKUP($B51,'Base de datos'!$A$3:$K$24,10,FALSE),"")))),"",IFERROR(IF(OR(ISNUMBER(SEARCH("Hach",$B51)),ISNUMBER(SEARCH("Ketamina",$B51))),IF(VLOOKUP($B51,'Base de datos'!$A$3:$K$24,6,FALSE)="","",$E51*VLOOKUP($B51,'Base de datos'!$A$3:$K$24,6,FALSE)),IF(AND(IFERROR(VLOOKUP($B51,'Base de datos'!$A$3:$K$24,9,FALSE),"")&lt;&gt;"",IFERROR(VLOOKUP($B51,'Base de datos'!$A$3:$K$24,9,FALSE),"")&lt;&gt;0),"",IF(VLOOKUP($B51,'Base de datos'!$A$3:$K$24,6,FALSE)="","",$N51*VLOOKUP($B51,'Base de datos'!$A$3:$K$24,6,FALSE)))),"")))</f>
        <v/>
      </c>
      <c r="H51" s="7" t="str">
        <f>IF($B51="","",IF(OR(UPPER(IFERROR(VLOOKUP($B51,'Base de datos'!$A$3:$K$24,11,FALSE),""))="NO",ISNUMBER(SEARCH("no sometida",IFERROR(VLOOKUP($B51,'Base de datos'!$A$3:$K$24,10,FALSE),""))),ISNUMBER(SEARCH("no fiscal",IFERROR(VLOOKUP($B51,'Base de datos'!$A$3:$K$24,10,FALSE),"")))),"",IF(OR(ISNUMBER(SEARCH("Hach",$B51)),ISNUMBER(SEARCH("Ketamina",$B51))),"",IF(AND(IFERROR(VLOOKUP($B51,'Base de datos'!$A$3:$K$24,9,FALSE),"")&lt;&gt;"",IFERROR(VLOOKUP($B51,'Base de datos'!$A$3:$K$24,9,FALSE),"")&lt;&gt;0),$E51*IFERROR(VLOOKUP($B51,'Base de datos'!$A$3:$K$24,9,FALSE),""),IFERROR($O51*VLOOKUP($B51,'Base de datos'!$A$3:$K$24,4,FALSE),"")))))</f>
        <v/>
      </c>
      <c r="I51" s="5" t="str">
        <f>IFERROR(VLOOKUP($B51,'Base de datos'!$A$3:$K$24,7,FALSE),"")</f>
        <v/>
      </c>
      <c r="J51" s="13" t="str">
        <f>IFERROR(VLOOKUP($B51,'Base de datos'!$A$3:$K$24,10,FALSE),"")</f>
        <v/>
      </c>
      <c r="K51" s="6"/>
      <c r="L51" s="4"/>
      <c r="M51" s="6" t="str">
        <f>IF(OR(OR(UPPER(IFERROR(VLOOKUP($B51,'Base de datos'!$A$3:$K$24,11,FALSE),""))="NO",ISNUMBER(SEARCH("no sometida",IFERROR(VLOOKUP($B51,'Base de datos'!$A$3:$K$24,10,FALSE),""))),ISNUMBER(SEARCH("no fiscal",IFERROR(VLOOKUP($B51,'Base de datos'!$A$3:$K$24,10,FALSE),"")))),OR(ISNUMBER(SEARCH("Hach",$B51)),ISNUMBER(SEARCH("Ketamina",$B51))),AND(IFERROR(VLOOKUP($B51,'Base de datos'!$A$3:$K$24,9,FALSE),"")&lt;&gt;"",IFERROR(VLOOKUP($B51,'Base de datos'!$A$3:$K$24,9,FALSE),"")&lt;&gt;0)),"",IFERROR($E51*$C51/$I51,""))</f>
        <v/>
      </c>
      <c r="N51" s="6" t="str">
        <f>IF(OR(OR(UPPER(IFERROR(VLOOKUP($B51,'Base de datos'!$A$3:$K$24,11,FALSE),""))="NO",ISNUMBER(SEARCH("no sometida",IFERROR(VLOOKUP($B51,'Base de datos'!$A$3:$K$24,10,FALSE),""))),ISNUMBER(SEARCH("no fiscal",IFERROR(VLOOKUP($B51,'Base de datos'!$A$3:$K$24,10,FALSE),"")))),OR(ISNUMBER(SEARCH("Hach",$B51)),ISNUMBER(SEARCH("Ketamina",$B51))),AND(IFERROR(VLOOKUP($B51,'Base de datos'!$A$3:$K$24,9,FALSE),"")&lt;&gt;"",IFERROR(VLOOKUP($B51,'Base de datos'!$A$3:$K$24,9,FALSE),"")&lt;&gt;0)),"",IFERROR($E51*$C51/IFERROR(VLOOKUP($B51,'Base de datos'!$A$3:$K$24,5,FALSE),0),""))</f>
        <v/>
      </c>
      <c r="O51" s="6" t="str">
        <f>IF(OR(OR(UPPER(IFERROR(VLOOKUP($B51,'Base de datos'!$A$3:$K$24,11,FALSE),""))="NO",ISNUMBER(SEARCH("no sometida",IFERROR(VLOOKUP($B51,'Base de datos'!$A$3:$K$24,10,FALSE),""))),ISNUMBER(SEARCH("no fiscal",IFERROR(VLOOKUP($B51,'Base de datos'!$A$3:$K$24,10,FALSE),"")))),OR(ISNUMBER(SEARCH("Hach",$B51)),ISNUMBER(SEARCH("Ketamina",$B51))),AND(IFERROR(VLOOKUP($B51,'Base de datos'!$A$3:$K$24,9,FALSE),"")&lt;&gt;"",IFERROR(VLOOKUP($B51,'Base de datos'!$A$3:$K$24,9,FALSE),"")&lt;&gt;0)),"",IFERROR((($E51*$C51/IFERROR(VLOOKUP($B51,'Base de datos'!$A$3:$K$24,3,FALSE),0))*1000)/IFERROR(VLOOKUP($B51,'Base de datos'!$A$3:$K$24,2,FALSE),0),""))</f>
        <v/>
      </c>
    </row>
    <row r="52" spans="1:15" x14ac:dyDescent="0.25">
      <c r="A52" s="4"/>
      <c r="B52" s="4"/>
      <c r="C52" s="5" t="str">
        <f>IFERROR(VLOOKUP($B52,'Base de datos'!$A$3:$K$24,3,FALSE),"")</f>
        <v/>
      </c>
      <c r="D52" s="4" t="str">
        <f t="shared" si="1"/>
        <v/>
      </c>
      <c r="E52" s="6"/>
      <c r="F52" s="7" t="str">
        <f>IF($B52="","",IF(OR(UPPER(IFERROR(VLOOKUP($B52,'Base de datos'!$A$3:$K$24,11,FALSE),""))="NO",ISNUMBER(SEARCH("no sometida",IFERROR(VLOOKUP($B52,'Base de datos'!$A$3:$K$24,10,FALSE),""))),ISNUMBER(SEARCH("no fiscal",IFERROR(VLOOKUP($B52,'Base de datos'!$A$3:$K$24,10,FALSE),"")))),"",IF(OR(OR(ISNUMBER(SEARCH("Hach",$B52)),ISNUMBER(SEARCH("Ketamina",$B52))),AND(IFERROR(VLOOKUP($B52,'Base de datos'!$A$3:$K$24,9,FALSE),"")&lt;&gt;"",IFERROR(VLOOKUP($B52,'Base de datos'!$A$3:$K$24,9,FALSE),"")&lt;&gt;0)),"",IFERROR($M52*VLOOKUP($B52,'Base de datos'!$A$3:$K$24,8,FALSE)/1000,""))))</f>
        <v/>
      </c>
      <c r="G52" s="7" t="str">
        <f>IF($B52="","",IF(OR(UPPER(IFERROR(VLOOKUP($B52,'Base de datos'!$A$3:$K$24,11,FALSE),""))="NO",ISNUMBER(SEARCH("no sometida",IFERROR(VLOOKUP($B52,'Base de datos'!$A$3:$K$24,10,FALSE),""))),ISNUMBER(SEARCH("no fiscal",IFERROR(VLOOKUP($B52,'Base de datos'!$A$3:$K$24,10,FALSE),"")))),"",IFERROR(IF(OR(ISNUMBER(SEARCH("Hach",$B52)),ISNUMBER(SEARCH("Ketamina",$B52))),IF(VLOOKUP($B52,'Base de datos'!$A$3:$K$24,6,FALSE)="","",$E52*VLOOKUP($B52,'Base de datos'!$A$3:$K$24,6,FALSE)),IF(AND(IFERROR(VLOOKUP($B52,'Base de datos'!$A$3:$K$24,9,FALSE),"")&lt;&gt;"",IFERROR(VLOOKUP($B52,'Base de datos'!$A$3:$K$24,9,FALSE),"")&lt;&gt;0),"",IF(VLOOKUP($B52,'Base de datos'!$A$3:$K$24,6,FALSE)="","",$N52*VLOOKUP($B52,'Base de datos'!$A$3:$K$24,6,FALSE)))),"")))</f>
        <v/>
      </c>
      <c r="H52" s="7" t="str">
        <f>IF($B52="","",IF(OR(UPPER(IFERROR(VLOOKUP($B52,'Base de datos'!$A$3:$K$24,11,FALSE),""))="NO",ISNUMBER(SEARCH("no sometida",IFERROR(VLOOKUP($B52,'Base de datos'!$A$3:$K$24,10,FALSE),""))),ISNUMBER(SEARCH("no fiscal",IFERROR(VLOOKUP($B52,'Base de datos'!$A$3:$K$24,10,FALSE),"")))),"",IF(OR(ISNUMBER(SEARCH("Hach",$B52)),ISNUMBER(SEARCH("Ketamina",$B52))),"",IF(AND(IFERROR(VLOOKUP($B52,'Base de datos'!$A$3:$K$24,9,FALSE),"")&lt;&gt;"",IFERROR(VLOOKUP($B52,'Base de datos'!$A$3:$K$24,9,FALSE),"")&lt;&gt;0),$E52*IFERROR(VLOOKUP($B52,'Base de datos'!$A$3:$K$24,9,FALSE),""),IFERROR($O52*VLOOKUP($B52,'Base de datos'!$A$3:$K$24,4,FALSE),"")))))</f>
        <v/>
      </c>
      <c r="I52" s="5" t="str">
        <f>IFERROR(VLOOKUP($B52,'Base de datos'!$A$3:$K$24,7,FALSE),"")</f>
        <v/>
      </c>
      <c r="J52" s="13" t="str">
        <f>IFERROR(VLOOKUP($B52,'Base de datos'!$A$3:$K$24,10,FALSE),"")</f>
        <v/>
      </c>
      <c r="K52" s="6"/>
      <c r="L52" s="4"/>
      <c r="M52" s="6" t="str">
        <f>IF(OR(OR(UPPER(IFERROR(VLOOKUP($B52,'Base de datos'!$A$3:$K$24,11,FALSE),""))="NO",ISNUMBER(SEARCH("no sometida",IFERROR(VLOOKUP($B52,'Base de datos'!$A$3:$K$24,10,FALSE),""))),ISNUMBER(SEARCH("no fiscal",IFERROR(VLOOKUP($B52,'Base de datos'!$A$3:$K$24,10,FALSE),"")))),OR(ISNUMBER(SEARCH("Hach",$B52)),ISNUMBER(SEARCH("Ketamina",$B52))),AND(IFERROR(VLOOKUP($B52,'Base de datos'!$A$3:$K$24,9,FALSE),"")&lt;&gt;"",IFERROR(VLOOKUP($B52,'Base de datos'!$A$3:$K$24,9,FALSE),"")&lt;&gt;0)),"",IFERROR($E52*$C52/$I52,""))</f>
        <v/>
      </c>
      <c r="N52" s="6" t="str">
        <f>IF(OR(OR(UPPER(IFERROR(VLOOKUP($B52,'Base de datos'!$A$3:$K$24,11,FALSE),""))="NO",ISNUMBER(SEARCH("no sometida",IFERROR(VLOOKUP($B52,'Base de datos'!$A$3:$K$24,10,FALSE),""))),ISNUMBER(SEARCH("no fiscal",IFERROR(VLOOKUP($B52,'Base de datos'!$A$3:$K$24,10,FALSE),"")))),OR(ISNUMBER(SEARCH("Hach",$B52)),ISNUMBER(SEARCH("Ketamina",$B52))),AND(IFERROR(VLOOKUP($B52,'Base de datos'!$A$3:$K$24,9,FALSE),"")&lt;&gt;"",IFERROR(VLOOKUP($B52,'Base de datos'!$A$3:$K$24,9,FALSE),"")&lt;&gt;0)),"",IFERROR($E52*$C52/IFERROR(VLOOKUP($B52,'Base de datos'!$A$3:$K$24,5,FALSE),0),""))</f>
        <v/>
      </c>
      <c r="O52" s="6" t="str">
        <f>IF(OR(OR(UPPER(IFERROR(VLOOKUP($B52,'Base de datos'!$A$3:$K$24,11,FALSE),""))="NO",ISNUMBER(SEARCH("no sometida",IFERROR(VLOOKUP($B52,'Base de datos'!$A$3:$K$24,10,FALSE),""))),ISNUMBER(SEARCH("no fiscal",IFERROR(VLOOKUP($B52,'Base de datos'!$A$3:$K$24,10,FALSE),"")))),OR(ISNUMBER(SEARCH("Hach",$B52)),ISNUMBER(SEARCH("Ketamina",$B52))),AND(IFERROR(VLOOKUP($B52,'Base de datos'!$A$3:$K$24,9,FALSE),"")&lt;&gt;"",IFERROR(VLOOKUP($B52,'Base de datos'!$A$3:$K$24,9,FALSE),"")&lt;&gt;0)),"",IFERROR((($E52*$C52/IFERROR(VLOOKUP($B52,'Base de datos'!$A$3:$K$24,3,FALSE),0))*1000)/IFERROR(VLOOKUP($B52,'Base de datos'!$A$3:$K$24,2,FALSE),0),""))</f>
        <v/>
      </c>
    </row>
    <row r="53" spans="1:15" x14ac:dyDescent="0.25">
      <c r="A53" s="4"/>
      <c r="B53" s="4"/>
      <c r="C53" s="5" t="str">
        <f>IFERROR(VLOOKUP($B53,'Base de datos'!$A$3:$K$24,3,FALSE),"")</f>
        <v/>
      </c>
      <c r="D53" s="4" t="str">
        <f t="shared" si="1"/>
        <v/>
      </c>
      <c r="E53" s="6"/>
      <c r="F53" s="7" t="str">
        <f>IF($B53="","",IF(OR(UPPER(IFERROR(VLOOKUP($B53,'Base de datos'!$A$3:$K$24,11,FALSE),""))="NO",ISNUMBER(SEARCH("no sometida",IFERROR(VLOOKUP($B53,'Base de datos'!$A$3:$K$24,10,FALSE),""))),ISNUMBER(SEARCH("no fiscal",IFERROR(VLOOKUP($B53,'Base de datos'!$A$3:$K$24,10,FALSE),"")))),"",IF(OR(OR(ISNUMBER(SEARCH("Hach",$B53)),ISNUMBER(SEARCH("Ketamina",$B53))),AND(IFERROR(VLOOKUP($B53,'Base de datos'!$A$3:$K$24,9,FALSE),"")&lt;&gt;"",IFERROR(VLOOKUP($B53,'Base de datos'!$A$3:$K$24,9,FALSE),"")&lt;&gt;0)),"",IFERROR($M53*VLOOKUP($B53,'Base de datos'!$A$3:$K$24,8,FALSE)/1000,""))))</f>
        <v/>
      </c>
      <c r="G53" s="7" t="str">
        <f>IF($B53="","",IF(OR(UPPER(IFERROR(VLOOKUP($B53,'Base de datos'!$A$3:$K$24,11,FALSE),""))="NO",ISNUMBER(SEARCH("no sometida",IFERROR(VLOOKUP($B53,'Base de datos'!$A$3:$K$24,10,FALSE),""))),ISNUMBER(SEARCH("no fiscal",IFERROR(VLOOKUP($B53,'Base de datos'!$A$3:$K$24,10,FALSE),"")))),"",IFERROR(IF(OR(ISNUMBER(SEARCH("Hach",$B53)),ISNUMBER(SEARCH("Ketamina",$B53))),IF(VLOOKUP($B53,'Base de datos'!$A$3:$K$24,6,FALSE)="","",$E53*VLOOKUP($B53,'Base de datos'!$A$3:$K$24,6,FALSE)),IF(AND(IFERROR(VLOOKUP($B53,'Base de datos'!$A$3:$K$24,9,FALSE),"")&lt;&gt;"",IFERROR(VLOOKUP($B53,'Base de datos'!$A$3:$K$24,9,FALSE),"")&lt;&gt;0),"",IF(VLOOKUP($B53,'Base de datos'!$A$3:$K$24,6,FALSE)="","",$N53*VLOOKUP($B53,'Base de datos'!$A$3:$K$24,6,FALSE)))),"")))</f>
        <v/>
      </c>
      <c r="H53" s="7" t="str">
        <f>IF($B53="","",IF(OR(UPPER(IFERROR(VLOOKUP($B53,'Base de datos'!$A$3:$K$24,11,FALSE),""))="NO",ISNUMBER(SEARCH("no sometida",IFERROR(VLOOKUP($B53,'Base de datos'!$A$3:$K$24,10,FALSE),""))),ISNUMBER(SEARCH("no fiscal",IFERROR(VLOOKUP($B53,'Base de datos'!$A$3:$K$24,10,FALSE),"")))),"",IF(OR(ISNUMBER(SEARCH("Hach",$B53)),ISNUMBER(SEARCH("Ketamina",$B53))),"",IF(AND(IFERROR(VLOOKUP($B53,'Base de datos'!$A$3:$K$24,9,FALSE),"")&lt;&gt;"",IFERROR(VLOOKUP($B53,'Base de datos'!$A$3:$K$24,9,FALSE),"")&lt;&gt;0),$E53*IFERROR(VLOOKUP($B53,'Base de datos'!$A$3:$K$24,9,FALSE),""),IFERROR($O53*VLOOKUP($B53,'Base de datos'!$A$3:$K$24,4,FALSE),"")))))</f>
        <v/>
      </c>
      <c r="I53" s="5" t="str">
        <f>IFERROR(VLOOKUP($B53,'Base de datos'!$A$3:$K$24,7,FALSE),"")</f>
        <v/>
      </c>
      <c r="J53" s="13" t="str">
        <f>IFERROR(VLOOKUP($B53,'Base de datos'!$A$3:$K$24,10,FALSE),"")</f>
        <v/>
      </c>
      <c r="K53" s="6"/>
      <c r="L53" s="4"/>
      <c r="M53" s="6" t="str">
        <f>IF(OR(OR(UPPER(IFERROR(VLOOKUP($B53,'Base de datos'!$A$3:$K$24,11,FALSE),""))="NO",ISNUMBER(SEARCH("no sometida",IFERROR(VLOOKUP($B53,'Base de datos'!$A$3:$K$24,10,FALSE),""))),ISNUMBER(SEARCH("no fiscal",IFERROR(VLOOKUP($B53,'Base de datos'!$A$3:$K$24,10,FALSE),"")))),OR(ISNUMBER(SEARCH("Hach",$B53)),ISNUMBER(SEARCH("Ketamina",$B53))),AND(IFERROR(VLOOKUP($B53,'Base de datos'!$A$3:$K$24,9,FALSE),"")&lt;&gt;"",IFERROR(VLOOKUP($B53,'Base de datos'!$A$3:$K$24,9,FALSE),"")&lt;&gt;0)),"",IFERROR($E53*$C53/$I53,""))</f>
        <v/>
      </c>
      <c r="N53" s="6" t="str">
        <f>IF(OR(OR(UPPER(IFERROR(VLOOKUP($B53,'Base de datos'!$A$3:$K$24,11,FALSE),""))="NO",ISNUMBER(SEARCH("no sometida",IFERROR(VLOOKUP($B53,'Base de datos'!$A$3:$K$24,10,FALSE),""))),ISNUMBER(SEARCH("no fiscal",IFERROR(VLOOKUP($B53,'Base de datos'!$A$3:$K$24,10,FALSE),"")))),OR(ISNUMBER(SEARCH("Hach",$B53)),ISNUMBER(SEARCH("Ketamina",$B53))),AND(IFERROR(VLOOKUP($B53,'Base de datos'!$A$3:$K$24,9,FALSE),"")&lt;&gt;"",IFERROR(VLOOKUP($B53,'Base de datos'!$A$3:$K$24,9,FALSE),"")&lt;&gt;0)),"",IFERROR($E53*$C53/IFERROR(VLOOKUP($B53,'Base de datos'!$A$3:$K$24,5,FALSE),0),""))</f>
        <v/>
      </c>
      <c r="O53" s="6" t="str">
        <f>IF(OR(OR(UPPER(IFERROR(VLOOKUP($B53,'Base de datos'!$A$3:$K$24,11,FALSE),""))="NO",ISNUMBER(SEARCH("no sometida",IFERROR(VLOOKUP($B53,'Base de datos'!$A$3:$K$24,10,FALSE),""))),ISNUMBER(SEARCH("no fiscal",IFERROR(VLOOKUP($B53,'Base de datos'!$A$3:$K$24,10,FALSE),"")))),OR(ISNUMBER(SEARCH("Hach",$B53)),ISNUMBER(SEARCH("Ketamina",$B53))),AND(IFERROR(VLOOKUP($B53,'Base de datos'!$A$3:$K$24,9,FALSE),"")&lt;&gt;"",IFERROR(VLOOKUP($B53,'Base de datos'!$A$3:$K$24,9,FALSE),"")&lt;&gt;0)),"",IFERROR((($E53*$C53/IFERROR(VLOOKUP($B53,'Base de datos'!$A$3:$K$24,3,FALSE),0))*1000)/IFERROR(VLOOKUP($B53,'Base de datos'!$A$3:$K$24,2,FALSE),0),""))</f>
        <v/>
      </c>
    </row>
    <row r="54" spans="1:15" x14ac:dyDescent="0.25">
      <c r="A54" s="4"/>
      <c r="B54" s="4"/>
      <c r="C54" s="5" t="str">
        <f>IFERROR(VLOOKUP($B54,'Base de datos'!$A$3:$K$24,3,FALSE),"")</f>
        <v/>
      </c>
      <c r="D54" s="4" t="str">
        <f t="shared" si="1"/>
        <v/>
      </c>
      <c r="E54" s="6"/>
      <c r="F54" s="7" t="str">
        <f>IF($B54="","",IF(OR(UPPER(IFERROR(VLOOKUP($B54,'Base de datos'!$A$3:$K$24,11,FALSE),""))="NO",ISNUMBER(SEARCH("no sometida",IFERROR(VLOOKUP($B54,'Base de datos'!$A$3:$K$24,10,FALSE),""))),ISNUMBER(SEARCH("no fiscal",IFERROR(VLOOKUP($B54,'Base de datos'!$A$3:$K$24,10,FALSE),"")))),"",IF(OR(OR(ISNUMBER(SEARCH("Hach",$B54)),ISNUMBER(SEARCH("Ketamina",$B54))),AND(IFERROR(VLOOKUP($B54,'Base de datos'!$A$3:$K$24,9,FALSE),"")&lt;&gt;"",IFERROR(VLOOKUP($B54,'Base de datos'!$A$3:$K$24,9,FALSE),"")&lt;&gt;0)),"",IFERROR($M54*VLOOKUP($B54,'Base de datos'!$A$3:$K$24,8,FALSE)/1000,""))))</f>
        <v/>
      </c>
      <c r="G54" s="7" t="str">
        <f>IF($B54="","",IF(OR(UPPER(IFERROR(VLOOKUP($B54,'Base de datos'!$A$3:$K$24,11,FALSE),""))="NO",ISNUMBER(SEARCH("no sometida",IFERROR(VLOOKUP($B54,'Base de datos'!$A$3:$K$24,10,FALSE),""))),ISNUMBER(SEARCH("no fiscal",IFERROR(VLOOKUP($B54,'Base de datos'!$A$3:$K$24,10,FALSE),"")))),"",IFERROR(IF(OR(ISNUMBER(SEARCH("Hach",$B54)),ISNUMBER(SEARCH("Ketamina",$B54))),IF(VLOOKUP($B54,'Base de datos'!$A$3:$K$24,6,FALSE)="","",$E54*VLOOKUP($B54,'Base de datos'!$A$3:$K$24,6,FALSE)),IF(AND(IFERROR(VLOOKUP($B54,'Base de datos'!$A$3:$K$24,9,FALSE),"")&lt;&gt;"",IFERROR(VLOOKUP($B54,'Base de datos'!$A$3:$K$24,9,FALSE),"")&lt;&gt;0),"",IF(VLOOKUP($B54,'Base de datos'!$A$3:$K$24,6,FALSE)="","",$N54*VLOOKUP($B54,'Base de datos'!$A$3:$K$24,6,FALSE)))),"")))</f>
        <v/>
      </c>
      <c r="H54" s="7" t="str">
        <f>IF($B54="","",IF(OR(UPPER(IFERROR(VLOOKUP($B54,'Base de datos'!$A$3:$K$24,11,FALSE),""))="NO",ISNUMBER(SEARCH("no sometida",IFERROR(VLOOKUP($B54,'Base de datos'!$A$3:$K$24,10,FALSE),""))),ISNUMBER(SEARCH("no fiscal",IFERROR(VLOOKUP($B54,'Base de datos'!$A$3:$K$24,10,FALSE),"")))),"",IF(OR(ISNUMBER(SEARCH("Hach",$B54)),ISNUMBER(SEARCH("Ketamina",$B54))),"",IF(AND(IFERROR(VLOOKUP($B54,'Base de datos'!$A$3:$K$24,9,FALSE),"")&lt;&gt;"",IFERROR(VLOOKUP($B54,'Base de datos'!$A$3:$K$24,9,FALSE),"")&lt;&gt;0),$E54*IFERROR(VLOOKUP($B54,'Base de datos'!$A$3:$K$24,9,FALSE),""),IFERROR($O54*VLOOKUP($B54,'Base de datos'!$A$3:$K$24,4,FALSE),"")))))</f>
        <v/>
      </c>
      <c r="I54" s="5" t="str">
        <f>IFERROR(VLOOKUP($B54,'Base de datos'!$A$3:$K$24,7,FALSE),"")</f>
        <v/>
      </c>
      <c r="J54" s="13" t="str">
        <f>IFERROR(VLOOKUP($B54,'Base de datos'!$A$3:$K$24,10,FALSE),"")</f>
        <v/>
      </c>
      <c r="K54" s="6"/>
      <c r="L54" s="4"/>
      <c r="M54" s="6" t="str">
        <f>IF(OR(OR(UPPER(IFERROR(VLOOKUP($B54,'Base de datos'!$A$3:$K$24,11,FALSE),""))="NO",ISNUMBER(SEARCH("no sometida",IFERROR(VLOOKUP($B54,'Base de datos'!$A$3:$K$24,10,FALSE),""))),ISNUMBER(SEARCH("no fiscal",IFERROR(VLOOKUP($B54,'Base de datos'!$A$3:$K$24,10,FALSE),"")))),OR(ISNUMBER(SEARCH("Hach",$B54)),ISNUMBER(SEARCH("Ketamina",$B54))),AND(IFERROR(VLOOKUP($B54,'Base de datos'!$A$3:$K$24,9,FALSE),"")&lt;&gt;"",IFERROR(VLOOKUP($B54,'Base de datos'!$A$3:$K$24,9,FALSE),"")&lt;&gt;0)),"",IFERROR($E54*$C54/$I54,""))</f>
        <v/>
      </c>
      <c r="N54" s="6" t="str">
        <f>IF(OR(OR(UPPER(IFERROR(VLOOKUP($B54,'Base de datos'!$A$3:$K$24,11,FALSE),""))="NO",ISNUMBER(SEARCH("no sometida",IFERROR(VLOOKUP($B54,'Base de datos'!$A$3:$K$24,10,FALSE),""))),ISNUMBER(SEARCH("no fiscal",IFERROR(VLOOKUP($B54,'Base de datos'!$A$3:$K$24,10,FALSE),"")))),OR(ISNUMBER(SEARCH("Hach",$B54)),ISNUMBER(SEARCH("Ketamina",$B54))),AND(IFERROR(VLOOKUP($B54,'Base de datos'!$A$3:$K$24,9,FALSE),"")&lt;&gt;"",IFERROR(VLOOKUP($B54,'Base de datos'!$A$3:$K$24,9,FALSE),"")&lt;&gt;0)),"",IFERROR($E54*$C54/IFERROR(VLOOKUP($B54,'Base de datos'!$A$3:$K$24,5,FALSE),0),""))</f>
        <v/>
      </c>
      <c r="O54" s="6" t="str">
        <f>IF(OR(OR(UPPER(IFERROR(VLOOKUP($B54,'Base de datos'!$A$3:$K$24,11,FALSE),""))="NO",ISNUMBER(SEARCH("no sometida",IFERROR(VLOOKUP($B54,'Base de datos'!$A$3:$K$24,10,FALSE),""))),ISNUMBER(SEARCH("no fiscal",IFERROR(VLOOKUP($B54,'Base de datos'!$A$3:$K$24,10,FALSE),"")))),OR(ISNUMBER(SEARCH("Hach",$B54)),ISNUMBER(SEARCH("Ketamina",$B54))),AND(IFERROR(VLOOKUP($B54,'Base de datos'!$A$3:$K$24,9,FALSE),"")&lt;&gt;"",IFERROR(VLOOKUP($B54,'Base de datos'!$A$3:$K$24,9,FALSE),"")&lt;&gt;0)),"",IFERROR((($E54*$C54/IFERROR(VLOOKUP($B54,'Base de datos'!$A$3:$K$24,3,FALSE),0))*1000)/IFERROR(VLOOKUP($B54,'Base de datos'!$A$3:$K$24,2,FALSE),0),""))</f>
        <v/>
      </c>
    </row>
    <row r="55" spans="1:15" x14ac:dyDescent="0.25">
      <c r="A55" s="4"/>
      <c r="B55" s="4"/>
      <c r="C55" s="5" t="str">
        <f>IFERROR(VLOOKUP($B55,'Base de datos'!$A$3:$K$24,3,FALSE),"")</f>
        <v/>
      </c>
      <c r="D55" s="4" t="str">
        <f t="shared" si="1"/>
        <v/>
      </c>
      <c r="E55" s="6"/>
      <c r="F55" s="7" t="str">
        <f>IF($B55="","",IF(OR(UPPER(IFERROR(VLOOKUP($B55,'Base de datos'!$A$3:$K$24,11,FALSE),""))="NO",ISNUMBER(SEARCH("no sometida",IFERROR(VLOOKUP($B55,'Base de datos'!$A$3:$K$24,10,FALSE),""))),ISNUMBER(SEARCH("no fiscal",IFERROR(VLOOKUP($B55,'Base de datos'!$A$3:$K$24,10,FALSE),"")))),"",IF(OR(OR(ISNUMBER(SEARCH("Hach",$B55)),ISNUMBER(SEARCH("Ketamina",$B55))),AND(IFERROR(VLOOKUP($B55,'Base de datos'!$A$3:$K$24,9,FALSE),"")&lt;&gt;"",IFERROR(VLOOKUP($B55,'Base de datos'!$A$3:$K$24,9,FALSE),"")&lt;&gt;0)),"",IFERROR($M55*VLOOKUP($B55,'Base de datos'!$A$3:$K$24,8,FALSE)/1000,""))))</f>
        <v/>
      </c>
      <c r="G55" s="7" t="str">
        <f>IF($B55="","",IF(OR(UPPER(IFERROR(VLOOKUP($B55,'Base de datos'!$A$3:$K$24,11,FALSE),""))="NO",ISNUMBER(SEARCH("no sometida",IFERROR(VLOOKUP($B55,'Base de datos'!$A$3:$K$24,10,FALSE),""))),ISNUMBER(SEARCH("no fiscal",IFERROR(VLOOKUP($B55,'Base de datos'!$A$3:$K$24,10,FALSE),"")))),"",IFERROR(IF(OR(ISNUMBER(SEARCH("Hach",$B55)),ISNUMBER(SEARCH("Ketamina",$B55))),IF(VLOOKUP($B55,'Base de datos'!$A$3:$K$24,6,FALSE)="","",$E55*VLOOKUP($B55,'Base de datos'!$A$3:$K$24,6,FALSE)),IF(AND(IFERROR(VLOOKUP($B55,'Base de datos'!$A$3:$K$24,9,FALSE),"")&lt;&gt;"",IFERROR(VLOOKUP($B55,'Base de datos'!$A$3:$K$24,9,FALSE),"")&lt;&gt;0),"",IF(VLOOKUP($B55,'Base de datos'!$A$3:$K$24,6,FALSE)="","",$N55*VLOOKUP($B55,'Base de datos'!$A$3:$K$24,6,FALSE)))),"")))</f>
        <v/>
      </c>
      <c r="H55" s="7" t="str">
        <f>IF($B55="","",IF(OR(UPPER(IFERROR(VLOOKUP($B55,'Base de datos'!$A$3:$K$24,11,FALSE),""))="NO",ISNUMBER(SEARCH("no sometida",IFERROR(VLOOKUP($B55,'Base de datos'!$A$3:$K$24,10,FALSE),""))),ISNUMBER(SEARCH("no fiscal",IFERROR(VLOOKUP($B55,'Base de datos'!$A$3:$K$24,10,FALSE),"")))),"",IF(OR(ISNUMBER(SEARCH("Hach",$B55)),ISNUMBER(SEARCH("Ketamina",$B55))),"",IF(AND(IFERROR(VLOOKUP($B55,'Base de datos'!$A$3:$K$24,9,FALSE),"")&lt;&gt;"",IFERROR(VLOOKUP($B55,'Base de datos'!$A$3:$K$24,9,FALSE),"")&lt;&gt;0),$E55*IFERROR(VLOOKUP($B55,'Base de datos'!$A$3:$K$24,9,FALSE),""),IFERROR($O55*VLOOKUP($B55,'Base de datos'!$A$3:$K$24,4,FALSE),"")))))</f>
        <v/>
      </c>
      <c r="I55" s="5" t="str">
        <f>IFERROR(VLOOKUP($B55,'Base de datos'!$A$3:$K$24,7,FALSE),"")</f>
        <v/>
      </c>
      <c r="J55" s="13" t="str">
        <f>IFERROR(VLOOKUP($B55,'Base de datos'!$A$3:$K$24,10,FALSE),"")</f>
        <v/>
      </c>
      <c r="K55" s="6"/>
      <c r="L55" s="4"/>
      <c r="M55" s="6" t="str">
        <f>IF(OR(OR(UPPER(IFERROR(VLOOKUP($B55,'Base de datos'!$A$3:$K$24,11,FALSE),""))="NO",ISNUMBER(SEARCH("no sometida",IFERROR(VLOOKUP($B55,'Base de datos'!$A$3:$K$24,10,FALSE),""))),ISNUMBER(SEARCH("no fiscal",IFERROR(VLOOKUP($B55,'Base de datos'!$A$3:$K$24,10,FALSE),"")))),OR(ISNUMBER(SEARCH("Hach",$B55)),ISNUMBER(SEARCH("Ketamina",$B55))),AND(IFERROR(VLOOKUP($B55,'Base de datos'!$A$3:$K$24,9,FALSE),"")&lt;&gt;"",IFERROR(VLOOKUP($B55,'Base de datos'!$A$3:$K$24,9,FALSE),"")&lt;&gt;0)),"",IFERROR($E55*$C55/$I55,""))</f>
        <v/>
      </c>
      <c r="N55" s="6" t="str">
        <f>IF(OR(OR(UPPER(IFERROR(VLOOKUP($B55,'Base de datos'!$A$3:$K$24,11,FALSE),""))="NO",ISNUMBER(SEARCH("no sometida",IFERROR(VLOOKUP($B55,'Base de datos'!$A$3:$K$24,10,FALSE),""))),ISNUMBER(SEARCH("no fiscal",IFERROR(VLOOKUP($B55,'Base de datos'!$A$3:$K$24,10,FALSE),"")))),OR(ISNUMBER(SEARCH("Hach",$B55)),ISNUMBER(SEARCH("Ketamina",$B55))),AND(IFERROR(VLOOKUP($B55,'Base de datos'!$A$3:$K$24,9,FALSE),"")&lt;&gt;"",IFERROR(VLOOKUP($B55,'Base de datos'!$A$3:$K$24,9,FALSE),"")&lt;&gt;0)),"",IFERROR($E55*$C55/IFERROR(VLOOKUP($B55,'Base de datos'!$A$3:$K$24,5,FALSE),0),""))</f>
        <v/>
      </c>
      <c r="O55" s="6" t="str">
        <f>IF(OR(OR(UPPER(IFERROR(VLOOKUP($B55,'Base de datos'!$A$3:$K$24,11,FALSE),""))="NO",ISNUMBER(SEARCH("no sometida",IFERROR(VLOOKUP($B55,'Base de datos'!$A$3:$K$24,10,FALSE),""))),ISNUMBER(SEARCH("no fiscal",IFERROR(VLOOKUP($B55,'Base de datos'!$A$3:$K$24,10,FALSE),"")))),OR(ISNUMBER(SEARCH("Hach",$B55)),ISNUMBER(SEARCH("Ketamina",$B55))),AND(IFERROR(VLOOKUP($B55,'Base de datos'!$A$3:$K$24,9,FALSE),"")&lt;&gt;"",IFERROR(VLOOKUP($B55,'Base de datos'!$A$3:$K$24,9,FALSE),"")&lt;&gt;0)),"",IFERROR((($E55*$C55/IFERROR(VLOOKUP($B55,'Base de datos'!$A$3:$K$24,3,FALSE),0))*1000)/IFERROR(VLOOKUP($B55,'Base de datos'!$A$3:$K$24,2,FALSE),0),""))</f>
        <v/>
      </c>
    </row>
    <row r="56" spans="1:15" x14ac:dyDescent="0.25">
      <c r="A56" s="4"/>
      <c r="B56" s="4"/>
      <c r="C56" s="5" t="str">
        <f>IFERROR(VLOOKUP($B56,'Base de datos'!$A$3:$K$24,3,FALSE),"")</f>
        <v/>
      </c>
      <c r="D56" s="4" t="str">
        <f t="shared" si="1"/>
        <v/>
      </c>
      <c r="E56" s="6"/>
      <c r="F56" s="7" t="str">
        <f>IF($B56="","",IF(OR(UPPER(IFERROR(VLOOKUP($B56,'Base de datos'!$A$3:$K$24,11,FALSE),""))="NO",ISNUMBER(SEARCH("no sometida",IFERROR(VLOOKUP($B56,'Base de datos'!$A$3:$K$24,10,FALSE),""))),ISNUMBER(SEARCH("no fiscal",IFERROR(VLOOKUP($B56,'Base de datos'!$A$3:$K$24,10,FALSE),"")))),"",IF(OR(OR(ISNUMBER(SEARCH("Hach",$B56)),ISNUMBER(SEARCH("Ketamina",$B56))),AND(IFERROR(VLOOKUP($B56,'Base de datos'!$A$3:$K$24,9,FALSE),"")&lt;&gt;"",IFERROR(VLOOKUP($B56,'Base de datos'!$A$3:$K$24,9,FALSE),"")&lt;&gt;0)),"",IFERROR($M56*VLOOKUP($B56,'Base de datos'!$A$3:$K$24,8,FALSE)/1000,""))))</f>
        <v/>
      </c>
      <c r="G56" s="7" t="str">
        <f>IF($B56="","",IF(OR(UPPER(IFERROR(VLOOKUP($B56,'Base de datos'!$A$3:$K$24,11,FALSE),""))="NO",ISNUMBER(SEARCH("no sometida",IFERROR(VLOOKUP($B56,'Base de datos'!$A$3:$K$24,10,FALSE),""))),ISNUMBER(SEARCH("no fiscal",IFERROR(VLOOKUP($B56,'Base de datos'!$A$3:$K$24,10,FALSE),"")))),"",IFERROR(IF(OR(ISNUMBER(SEARCH("Hach",$B56)),ISNUMBER(SEARCH("Ketamina",$B56))),IF(VLOOKUP($B56,'Base de datos'!$A$3:$K$24,6,FALSE)="","",$E56*VLOOKUP($B56,'Base de datos'!$A$3:$K$24,6,FALSE)),IF(AND(IFERROR(VLOOKUP($B56,'Base de datos'!$A$3:$K$24,9,FALSE),"")&lt;&gt;"",IFERROR(VLOOKUP($B56,'Base de datos'!$A$3:$K$24,9,FALSE),"")&lt;&gt;0),"",IF(VLOOKUP($B56,'Base de datos'!$A$3:$K$24,6,FALSE)="","",$N56*VLOOKUP($B56,'Base de datos'!$A$3:$K$24,6,FALSE)))),"")))</f>
        <v/>
      </c>
      <c r="H56" s="7" t="str">
        <f>IF($B56="","",IF(OR(UPPER(IFERROR(VLOOKUP($B56,'Base de datos'!$A$3:$K$24,11,FALSE),""))="NO",ISNUMBER(SEARCH("no sometida",IFERROR(VLOOKUP($B56,'Base de datos'!$A$3:$K$24,10,FALSE),""))),ISNUMBER(SEARCH("no fiscal",IFERROR(VLOOKUP($B56,'Base de datos'!$A$3:$K$24,10,FALSE),"")))),"",IF(OR(ISNUMBER(SEARCH("Hach",$B56)),ISNUMBER(SEARCH("Ketamina",$B56))),"",IF(AND(IFERROR(VLOOKUP($B56,'Base de datos'!$A$3:$K$24,9,FALSE),"")&lt;&gt;"",IFERROR(VLOOKUP($B56,'Base de datos'!$A$3:$K$24,9,FALSE),"")&lt;&gt;0),$E56*IFERROR(VLOOKUP($B56,'Base de datos'!$A$3:$K$24,9,FALSE),""),IFERROR($O56*VLOOKUP($B56,'Base de datos'!$A$3:$K$24,4,FALSE),"")))))</f>
        <v/>
      </c>
      <c r="I56" s="5" t="str">
        <f>IFERROR(VLOOKUP($B56,'Base de datos'!$A$3:$K$24,7,FALSE),"")</f>
        <v/>
      </c>
      <c r="J56" s="13" t="str">
        <f>IFERROR(VLOOKUP($B56,'Base de datos'!$A$3:$K$24,10,FALSE),"")</f>
        <v/>
      </c>
      <c r="K56" s="6"/>
      <c r="L56" s="4"/>
      <c r="M56" s="6" t="str">
        <f>IF(OR(OR(UPPER(IFERROR(VLOOKUP($B56,'Base de datos'!$A$3:$K$24,11,FALSE),""))="NO",ISNUMBER(SEARCH("no sometida",IFERROR(VLOOKUP($B56,'Base de datos'!$A$3:$K$24,10,FALSE),""))),ISNUMBER(SEARCH("no fiscal",IFERROR(VLOOKUP($B56,'Base de datos'!$A$3:$K$24,10,FALSE),"")))),OR(ISNUMBER(SEARCH("Hach",$B56)),ISNUMBER(SEARCH("Ketamina",$B56))),AND(IFERROR(VLOOKUP($B56,'Base de datos'!$A$3:$K$24,9,FALSE),"")&lt;&gt;"",IFERROR(VLOOKUP($B56,'Base de datos'!$A$3:$K$24,9,FALSE),"")&lt;&gt;0)),"",IFERROR($E56*$C56/$I56,""))</f>
        <v/>
      </c>
      <c r="N56" s="6" t="str">
        <f>IF(OR(OR(UPPER(IFERROR(VLOOKUP($B56,'Base de datos'!$A$3:$K$24,11,FALSE),""))="NO",ISNUMBER(SEARCH("no sometida",IFERROR(VLOOKUP($B56,'Base de datos'!$A$3:$K$24,10,FALSE),""))),ISNUMBER(SEARCH("no fiscal",IFERROR(VLOOKUP($B56,'Base de datos'!$A$3:$K$24,10,FALSE),"")))),OR(ISNUMBER(SEARCH("Hach",$B56)),ISNUMBER(SEARCH("Ketamina",$B56))),AND(IFERROR(VLOOKUP($B56,'Base de datos'!$A$3:$K$24,9,FALSE),"")&lt;&gt;"",IFERROR(VLOOKUP($B56,'Base de datos'!$A$3:$K$24,9,FALSE),"")&lt;&gt;0)),"",IFERROR($E56*$C56/IFERROR(VLOOKUP($B56,'Base de datos'!$A$3:$K$24,5,FALSE),0),""))</f>
        <v/>
      </c>
      <c r="O56" s="6" t="str">
        <f>IF(OR(OR(UPPER(IFERROR(VLOOKUP($B56,'Base de datos'!$A$3:$K$24,11,FALSE),""))="NO",ISNUMBER(SEARCH("no sometida",IFERROR(VLOOKUP($B56,'Base de datos'!$A$3:$K$24,10,FALSE),""))),ISNUMBER(SEARCH("no fiscal",IFERROR(VLOOKUP($B56,'Base de datos'!$A$3:$K$24,10,FALSE),"")))),OR(ISNUMBER(SEARCH("Hach",$B56)),ISNUMBER(SEARCH("Ketamina",$B56))),AND(IFERROR(VLOOKUP($B56,'Base de datos'!$A$3:$K$24,9,FALSE),"")&lt;&gt;"",IFERROR(VLOOKUP($B56,'Base de datos'!$A$3:$K$24,9,FALSE),"")&lt;&gt;0)),"",IFERROR((($E56*$C56/IFERROR(VLOOKUP($B56,'Base de datos'!$A$3:$K$24,3,FALSE),0))*1000)/IFERROR(VLOOKUP($B56,'Base de datos'!$A$3:$K$24,2,FALSE),0),""))</f>
        <v/>
      </c>
    </row>
    <row r="57" spans="1:15" x14ac:dyDescent="0.25">
      <c r="A57" s="4"/>
      <c r="B57" s="4"/>
      <c r="C57" s="5" t="str">
        <f>IFERROR(VLOOKUP($B57,'Base de datos'!$A$3:$K$24,3,FALSE),"")</f>
        <v/>
      </c>
      <c r="D57" s="4" t="str">
        <f t="shared" si="1"/>
        <v/>
      </c>
      <c r="E57" s="6"/>
      <c r="F57" s="7" t="str">
        <f>IF($B57="","",IF(OR(UPPER(IFERROR(VLOOKUP($B57,'Base de datos'!$A$3:$K$24,11,FALSE),""))="NO",ISNUMBER(SEARCH("no sometida",IFERROR(VLOOKUP($B57,'Base de datos'!$A$3:$K$24,10,FALSE),""))),ISNUMBER(SEARCH("no fiscal",IFERROR(VLOOKUP($B57,'Base de datos'!$A$3:$K$24,10,FALSE),"")))),"",IF(OR(OR(ISNUMBER(SEARCH("Hach",$B57)),ISNUMBER(SEARCH("Ketamina",$B57))),AND(IFERROR(VLOOKUP($B57,'Base de datos'!$A$3:$K$24,9,FALSE),"")&lt;&gt;"",IFERROR(VLOOKUP($B57,'Base de datos'!$A$3:$K$24,9,FALSE),"")&lt;&gt;0)),"",IFERROR($M57*VLOOKUP($B57,'Base de datos'!$A$3:$K$24,8,FALSE)/1000,""))))</f>
        <v/>
      </c>
      <c r="G57" s="7" t="str">
        <f>IF($B57="","",IF(OR(UPPER(IFERROR(VLOOKUP($B57,'Base de datos'!$A$3:$K$24,11,FALSE),""))="NO",ISNUMBER(SEARCH("no sometida",IFERROR(VLOOKUP($B57,'Base de datos'!$A$3:$K$24,10,FALSE),""))),ISNUMBER(SEARCH("no fiscal",IFERROR(VLOOKUP($B57,'Base de datos'!$A$3:$K$24,10,FALSE),"")))),"",IFERROR(IF(OR(ISNUMBER(SEARCH("Hach",$B57)),ISNUMBER(SEARCH("Ketamina",$B57))),IF(VLOOKUP($B57,'Base de datos'!$A$3:$K$24,6,FALSE)="","",$E57*VLOOKUP($B57,'Base de datos'!$A$3:$K$24,6,FALSE)),IF(AND(IFERROR(VLOOKUP($B57,'Base de datos'!$A$3:$K$24,9,FALSE),"")&lt;&gt;"",IFERROR(VLOOKUP($B57,'Base de datos'!$A$3:$K$24,9,FALSE),"")&lt;&gt;0),"",IF(VLOOKUP($B57,'Base de datos'!$A$3:$K$24,6,FALSE)="","",$N57*VLOOKUP($B57,'Base de datos'!$A$3:$K$24,6,FALSE)))),"")))</f>
        <v/>
      </c>
      <c r="H57" s="7" t="str">
        <f>IF($B57="","",IF(OR(UPPER(IFERROR(VLOOKUP($B57,'Base de datos'!$A$3:$K$24,11,FALSE),""))="NO",ISNUMBER(SEARCH("no sometida",IFERROR(VLOOKUP($B57,'Base de datos'!$A$3:$K$24,10,FALSE),""))),ISNUMBER(SEARCH("no fiscal",IFERROR(VLOOKUP($B57,'Base de datos'!$A$3:$K$24,10,FALSE),"")))),"",IF(OR(ISNUMBER(SEARCH("Hach",$B57)),ISNUMBER(SEARCH("Ketamina",$B57))),"",IF(AND(IFERROR(VLOOKUP($B57,'Base de datos'!$A$3:$K$24,9,FALSE),"")&lt;&gt;"",IFERROR(VLOOKUP($B57,'Base de datos'!$A$3:$K$24,9,FALSE),"")&lt;&gt;0),$E57*IFERROR(VLOOKUP($B57,'Base de datos'!$A$3:$K$24,9,FALSE),""),IFERROR($O57*VLOOKUP($B57,'Base de datos'!$A$3:$K$24,4,FALSE),"")))))</f>
        <v/>
      </c>
      <c r="I57" s="5" t="str">
        <f>IFERROR(VLOOKUP($B57,'Base de datos'!$A$3:$K$24,7,FALSE),"")</f>
        <v/>
      </c>
      <c r="J57" s="13" t="str">
        <f>IFERROR(VLOOKUP($B57,'Base de datos'!$A$3:$K$24,10,FALSE),"")</f>
        <v/>
      </c>
      <c r="K57" s="6"/>
      <c r="L57" s="4"/>
      <c r="M57" s="6" t="str">
        <f>IF(OR(OR(UPPER(IFERROR(VLOOKUP($B57,'Base de datos'!$A$3:$K$24,11,FALSE),""))="NO",ISNUMBER(SEARCH("no sometida",IFERROR(VLOOKUP($B57,'Base de datos'!$A$3:$K$24,10,FALSE),""))),ISNUMBER(SEARCH("no fiscal",IFERROR(VLOOKUP($B57,'Base de datos'!$A$3:$K$24,10,FALSE),"")))),OR(ISNUMBER(SEARCH("Hach",$B57)),ISNUMBER(SEARCH("Ketamina",$B57))),AND(IFERROR(VLOOKUP($B57,'Base de datos'!$A$3:$K$24,9,FALSE),"")&lt;&gt;"",IFERROR(VLOOKUP($B57,'Base de datos'!$A$3:$K$24,9,FALSE),"")&lt;&gt;0)),"",IFERROR($E57*$C57/$I57,""))</f>
        <v/>
      </c>
      <c r="N57" s="6" t="str">
        <f>IF(OR(OR(UPPER(IFERROR(VLOOKUP($B57,'Base de datos'!$A$3:$K$24,11,FALSE),""))="NO",ISNUMBER(SEARCH("no sometida",IFERROR(VLOOKUP($B57,'Base de datos'!$A$3:$K$24,10,FALSE),""))),ISNUMBER(SEARCH("no fiscal",IFERROR(VLOOKUP($B57,'Base de datos'!$A$3:$K$24,10,FALSE),"")))),OR(ISNUMBER(SEARCH("Hach",$B57)),ISNUMBER(SEARCH("Ketamina",$B57))),AND(IFERROR(VLOOKUP($B57,'Base de datos'!$A$3:$K$24,9,FALSE),"")&lt;&gt;"",IFERROR(VLOOKUP($B57,'Base de datos'!$A$3:$K$24,9,FALSE),"")&lt;&gt;0)),"",IFERROR($E57*$C57/IFERROR(VLOOKUP($B57,'Base de datos'!$A$3:$K$24,5,FALSE),0),""))</f>
        <v/>
      </c>
      <c r="O57" s="6" t="str">
        <f>IF(OR(OR(UPPER(IFERROR(VLOOKUP($B57,'Base de datos'!$A$3:$K$24,11,FALSE),""))="NO",ISNUMBER(SEARCH("no sometida",IFERROR(VLOOKUP($B57,'Base de datos'!$A$3:$K$24,10,FALSE),""))),ISNUMBER(SEARCH("no fiscal",IFERROR(VLOOKUP($B57,'Base de datos'!$A$3:$K$24,10,FALSE),"")))),OR(ISNUMBER(SEARCH("Hach",$B57)),ISNUMBER(SEARCH("Ketamina",$B57))),AND(IFERROR(VLOOKUP($B57,'Base de datos'!$A$3:$K$24,9,FALSE),"")&lt;&gt;"",IFERROR(VLOOKUP($B57,'Base de datos'!$A$3:$K$24,9,FALSE),"")&lt;&gt;0)),"",IFERROR((($E57*$C57/IFERROR(VLOOKUP($B57,'Base de datos'!$A$3:$K$24,3,FALSE),0))*1000)/IFERROR(VLOOKUP($B57,'Base de datos'!$A$3:$K$24,2,FALSE),0),""))</f>
        <v/>
      </c>
    </row>
    <row r="58" spans="1:15" x14ac:dyDescent="0.25">
      <c r="A58" s="4"/>
      <c r="B58" s="4"/>
      <c r="C58" s="5" t="str">
        <f>IFERROR(VLOOKUP($B58,'Base de datos'!$A$3:$K$24,3,FALSE),"")</f>
        <v/>
      </c>
      <c r="D58" s="4" t="str">
        <f t="shared" si="1"/>
        <v/>
      </c>
      <c r="E58" s="6"/>
      <c r="F58" s="7" t="str">
        <f>IF($B58="","",IF(OR(UPPER(IFERROR(VLOOKUP($B58,'Base de datos'!$A$3:$K$24,11,FALSE),""))="NO",ISNUMBER(SEARCH("no sometida",IFERROR(VLOOKUP($B58,'Base de datos'!$A$3:$K$24,10,FALSE),""))),ISNUMBER(SEARCH("no fiscal",IFERROR(VLOOKUP($B58,'Base de datos'!$A$3:$K$24,10,FALSE),"")))),"",IF(OR(OR(ISNUMBER(SEARCH("Hach",$B58)),ISNUMBER(SEARCH("Ketamina",$B58))),AND(IFERROR(VLOOKUP($B58,'Base de datos'!$A$3:$K$24,9,FALSE),"")&lt;&gt;"",IFERROR(VLOOKUP($B58,'Base de datos'!$A$3:$K$24,9,FALSE),"")&lt;&gt;0)),"",IFERROR($M58*VLOOKUP($B58,'Base de datos'!$A$3:$K$24,8,FALSE)/1000,""))))</f>
        <v/>
      </c>
      <c r="G58" s="7" t="str">
        <f>IF($B58="","",IF(OR(UPPER(IFERROR(VLOOKUP($B58,'Base de datos'!$A$3:$K$24,11,FALSE),""))="NO",ISNUMBER(SEARCH("no sometida",IFERROR(VLOOKUP($B58,'Base de datos'!$A$3:$K$24,10,FALSE),""))),ISNUMBER(SEARCH("no fiscal",IFERROR(VLOOKUP($B58,'Base de datos'!$A$3:$K$24,10,FALSE),"")))),"",IFERROR(IF(OR(ISNUMBER(SEARCH("Hach",$B58)),ISNUMBER(SEARCH("Ketamina",$B58))),IF(VLOOKUP($B58,'Base de datos'!$A$3:$K$24,6,FALSE)="","",$E58*VLOOKUP($B58,'Base de datos'!$A$3:$K$24,6,FALSE)),IF(AND(IFERROR(VLOOKUP($B58,'Base de datos'!$A$3:$K$24,9,FALSE),"")&lt;&gt;"",IFERROR(VLOOKUP($B58,'Base de datos'!$A$3:$K$24,9,FALSE),"")&lt;&gt;0),"",IF(VLOOKUP($B58,'Base de datos'!$A$3:$K$24,6,FALSE)="","",$N58*VLOOKUP($B58,'Base de datos'!$A$3:$K$24,6,FALSE)))),"")))</f>
        <v/>
      </c>
      <c r="H58" s="7" t="str">
        <f>IF($B58="","",IF(OR(UPPER(IFERROR(VLOOKUP($B58,'Base de datos'!$A$3:$K$24,11,FALSE),""))="NO",ISNUMBER(SEARCH("no sometida",IFERROR(VLOOKUP($B58,'Base de datos'!$A$3:$K$24,10,FALSE),""))),ISNUMBER(SEARCH("no fiscal",IFERROR(VLOOKUP($B58,'Base de datos'!$A$3:$K$24,10,FALSE),"")))),"",IF(OR(ISNUMBER(SEARCH("Hach",$B58)),ISNUMBER(SEARCH("Ketamina",$B58))),"",IF(AND(IFERROR(VLOOKUP($B58,'Base de datos'!$A$3:$K$24,9,FALSE),"")&lt;&gt;"",IFERROR(VLOOKUP($B58,'Base de datos'!$A$3:$K$24,9,FALSE),"")&lt;&gt;0),$E58*IFERROR(VLOOKUP($B58,'Base de datos'!$A$3:$K$24,9,FALSE),""),IFERROR($O58*VLOOKUP($B58,'Base de datos'!$A$3:$K$24,4,FALSE),"")))))</f>
        <v/>
      </c>
      <c r="I58" s="5" t="str">
        <f>IFERROR(VLOOKUP($B58,'Base de datos'!$A$3:$K$24,7,FALSE),"")</f>
        <v/>
      </c>
      <c r="J58" s="13" t="str">
        <f>IFERROR(VLOOKUP($B58,'Base de datos'!$A$3:$K$24,10,FALSE),"")</f>
        <v/>
      </c>
      <c r="K58" s="6"/>
      <c r="L58" s="4"/>
      <c r="M58" s="6" t="str">
        <f>IF(OR(OR(UPPER(IFERROR(VLOOKUP($B58,'Base de datos'!$A$3:$K$24,11,FALSE),""))="NO",ISNUMBER(SEARCH("no sometida",IFERROR(VLOOKUP($B58,'Base de datos'!$A$3:$K$24,10,FALSE),""))),ISNUMBER(SEARCH("no fiscal",IFERROR(VLOOKUP($B58,'Base de datos'!$A$3:$K$24,10,FALSE),"")))),OR(ISNUMBER(SEARCH("Hach",$B58)),ISNUMBER(SEARCH("Ketamina",$B58))),AND(IFERROR(VLOOKUP($B58,'Base de datos'!$A$3:$K$24,9,FALSE),"")&lt;&gt;"",IFERROR(VLOOKUP($B58,'Base de datos'!$A$3:$K$24,9,FALSE),"")&lt;&gt;0)),"",IFERROR($E58*$C58/$I58,""))</f>
        <v/>
      </c>
      <c r="N58" s="6" t="str">
        <f>IF(OR(OR(UPPER(IFERROR(VLOOKUP($B58,'Base de datos'!$A$3:$K$24,11,FALSE),""))="NO",ISNUMBER(SEARCH("no sometida",IFERROR(VLOOKUP($B58,'Base de datos'!$A$3:$K$24,10,FALSE),""))),ISNUMBER(SEARCH("no fiscal",IFERROR(VLOOKUP($B58,'Base de datos'!$A$3:$K$24,10,FALSE),"")))),OR(ISNUMBER(SEARCH("Hach",$B58)),ISNUMBER(SEARCH("Ketamina",$B58))),AND(IFERROR(VLOOKUP($B58,'Base de datos'!$A$3:$K$24,9,FALSE),"")&lt;&gt;"",IFERROR(VLOOKUP($B58,'Base de datos'!$A$3:$K$24,9,FALSE),"")&lt;&gt;0)),"",IFERROR($E58*$C58/IFERROR(VLOOKUP($B58,'Base de datos'!$A$3:$K$24,5,FALSE),0),""))</f>
        <v/>
      </c>
      <c r="O58" s="6" t="str">
        <f>IF(OR(OR(UPPER(IFERROR(VLOOKUP($B58,'Base de datos'!$A$3:$K$24,11,FALSE),""))="NO",ISNUMBER(SEARCH("no sometida",IFERROR(VLOOKUP($B58,'Base de datos'!$A$3:$K$24,10,FALSE),""))),ISNUMBER(SEARCH("no fiscal",IFERROR(VLOOKUP($B58,'Base de datos'!$A$3:$K$24,10,FALSE),"")))),OR(ISNUMBER(SEARCH("Hach",$B58)),ISNUMBER(SEARCH("Ketamina",$B58))),AND(IFERROR(VLOOKUP($B58,'Base de datos'!$A$3:$K$24,9,FALSE),"")&lt;&gt;"",IFERROR(VLOOKUP($B58,'Base de datos'!$A$3:$K$24,9,FALSE),"")&lt;&gt;0)),"",IFERROR((($E58*$C58/IFERROR(VLOOKUP($B58,'Base de datos'!$A$3:$K$24,3,FALSE),0))*1000)/IFERROR(VLOOKUP($B58,'Base de datos'!$A$3:$K$24,2,FALSE),0),""))</f>
        <v/>
      </c>
    </row>
    <row r="59" spans="1:15" x14ac:dyDescent="0.25">
      <c r="A59" s="4"/>
      <c r="B59" s="4"/>
      <c r="C59" s="5" t="str">
        <f>IFERROR(VLOOKUP($B59,'Base de datos'!$A$3:$K$24,3,FALSE),"")</f>
        <v/>
      </c>
      <c r="D59" s="4" t="str">
        <f t="shared" si="1"/>
        <v/>
      </c>
      <c r="E59" s="6"/>
      <c r="F59" s="7" t="str">
        <f>IF($B59="","",IF(OR(UPPER(IFERROR(VLOOKUP($B59,'Base de datos'!$A$3:$K$24,11,FALSE),""))="NO",ISNUMBER(SEARCH("no sometida",IFERROR(VLOOKUP($B59,'Base de datos'!$A$3:$K$24,10,FALSE),""))),ISNUMBER(SEARCH("no fiscal",IFERROR(VLOOKUP($B59,'Base de datos'!$A$3:$K$24,10,FALSE),"")))),"",IF(OR(OR(ISNUMBER(SEARCH("Hach",$B59)),ISNUMBER(SEARCH("Ketamina",$B59))),AND(IFERROR(VLOOKUP($B59,'Base de datos'!$A$3:$K$24,9,FALSE),"")&lt;&gt;"",IFERROR(VLOOKUP($B59,'Base de datos'!$A$3:$K$24,9,FALSE),"")&lt;&gt;0)),"",IFERROR($M59*VLOOKUP($B59,'Base de datos'!$A$3:$K$24,8,FALSE)/1000,""))))</f>
        <v/>
      </c>
      <c r="G59" s="7" t="str">
        <f>IF($B59="","",IF(OR(UPPER(IFERROR(VLOOKUP($B59,'Base de datos'!$A$3:$K$24,11,FALSE),""))="NO",ISNUMBER(SEARCH("no sometida",IFERROR(VLOOKUP($B59,'Base de datos'!$A$3:$K$24,10,FALSE),""))),ISNUMBER(SEARCH("no fiscal",IFERROR(VLOOKUP($B59,'Base de datos'!$A$3:$K$24,10,FALSE),"")))),"",IFERROR(IF(OR(ISNUMBER(SEARCH("Hach",$B59)),ISNUMBER(SEARCH("Ketamina",$B59))),IF(VLOOKUP($B59,'Base de datos'!$A$3:$K$24,6,FALSE)="","",$E59*VLOOKUP($B59,'Base de datos'!$A$3:$K$24,6,FALSE)),IF(AND(IFERROR(VLOOKUP($B59,'Base de datos'!$A$3:$K$24,9,FALSE),"")&lt;&gt;"",IFERROR(VLOOKUP($B59,'Base de datos'!$A$3:$K$24,9,FALSE),"")&lt;&gt;0),"",IF(VLOOKUP($B59,'Base de datos'!$A$3:$K$24,6,FALSE)="","",$N59*VLOOKUP($B59,'Base de datos'!$A$3:$K$24,6,FALSE)))),"")))</f>
        <v/>
      </c>
      <c r="H59" s="7" t="str">
        <f>IF($B59="","",IF(OR(UPPER(IFERROR(VLOOKUP($B59,'Base de datos'!$A$3:$K$24,11,FALSE),""))="NO",ISNUMBER(SEARCH("no sometida",IFERROR(VLOOKUP($B59,'Base de datos'!$A$3:$K$24,10,FALSE),""))),ISNUMBER(SEARCH("no fiscal",IFERROR(VLOOKUP($B59,'Base de datos'!$A$3:$K$24,10,FALSE),"")))),"",IF(OR(ISNUMBER(SEARCH("Hach",$B59)),ISNUMBER(SEARCH("Ketamina",$B59))),"",IF(AND(IFERROR(VLOOKUP($B59,'Base de datos'!$A$3:$K$24,9,FALSE),"")&lt;&gt;"",IFERROR(VLOOKUP($B59,'Base de datos'!$A$3:$K$24,9,FALSE),"")&lt;&gt;0),$E59*IFERROR(VLOOKUP($B59,'Base de datos'!$A$3:$K$24,9,FALSE),""),IFERROR($O59*VLOOKUP($B59,'Base de datos'!$A$3:$K$24,4,FALSE),"")))))</f>
        <v/>
      </c>
      <c r="I59" s="5" t="str">
        <f>IFERROR(VLOOKUP($B59,'Base de datos'!$A$3:$K$24,7,FALSE),"")</f>
        <v/>
      </c>
      <c r="J59" s="13" t="str">
        <f>IFERROR(VLOOKUP($B59,'Base de datos'!$A$3:$K$24,10,FALSE),"")</f>
        <v/>
      </c>
      <c r="K59" s="6"/>
      <c r="L59" s="4"/>
      <c r="M59" s="6" t="str">
        <f>IF(OR(OR(UPPER(IFERROR(VLOOKUP($B59,'Base de datos'!$A$3:$K$24,11,FALSE),""))="NO",ISNUMBER(SEARCH("no sometida",IFERROR(VLOOKUP($B59,'Base de datos'!$A$3:$K$24,10,FALSE),""))),ISNUMBER(SEARCH("no fiscal",IFERROR(VLOOKUP($B59,'Base de datos'!$A$3:$K$24,10,FALSE),"")))),OR(ISNUMBER(SEARCH("Hach",$B59)),ISNUMBER(SEARCH("Ketamina",$B59))),AND(IFERROR(VLOOKUP($B59,'Base de datos'!$A$3:$K$24,9,FALSE),"")&lt;&gt;"",IFERROR(VLOOKUP($B59,'Base de datos'!$A$3:$K$24,9,FALSE),"")&lt;&gt;0)),"",IFERROR($E59*$C59/$I59,""))</f>
        <v/>
      </c>
      <c r="N59" s="6" t="str">
        <f>IF(OR(OR(UPPER(IFERROR(VLOOKUP($B59,'Base de datos'!$A$3:$K$24,11,FALSE),""))="NO",ISNUMBER(SEARCH("no sometida",IFERROR(VLOOKUP($B59,'Base de datos'!$A$3:$K$24,10,FALSE),""))),ISNUMBER(SEARCH("no fiscal",IFERROR(VLOOKUP($B59,'Base de datos'!$A$3:$K$24,10,FALSE),"")))),OR(ISNUMBER(SEARCH("Hach",$B59)),ISNUMBER(SEARCH("Ketamina",$B59))),AND(IFERROR(VLOOKUP($B59,'Base de datos'!$A$3:$K$24,9,FALSE),"")&lt;&gt;"",IFERROR(VLOOKUP($B59,'Base de datos'!$A$3:$K$24,9,FALSE),"")&lt;&gt;0)),"",IFERROR($E59*$C59/IFERROR(VLOOKUP($B59,'Base de datos'!$A$3:$K$24,5,FALSE),0),""))</f>
        <v/>
      </c>
      <c r="O59" s="6" t="str">
        <f>IF(OR(OR(UPPER(IFERROR(VLOOKUP($B59,'Base de datos'!$A$3:$K$24,11,FALSE),""))="NO",ISNUMBER(SEARCH("no sometida",IFERROR(VLOOKUP($B59,'Base de datos'!$A$3:$K$24,10,FALSE),""))),ISNUMBER(SEARCH("no fiscal",IFERROR(VLOOKUP($B59,'Base de datos'!$A$3:$K$24,10,FALSE),"")))),OR(ISNUMBER(SEARCH("Hach",$B59)),ISNUMBER(SEARCH("Ketamina",$B59))),AND(IFERROR(VLOOKUP($B59,'Base de datos'!$A$3:$K$24,9,FALSE),"")&lt;&gt;"",IFERROR(VLOOKUP($B59,'Base de datos'!$A$3:$K$24,9,FALSE),"")&lt;&gt;0)),"",IFERROR((($E59*$C59/IFERROR(VLOOKUP($B59,'Base de datos'!$A$3:$K$24,3,FALSE),0))*1000)/IFERROR(VLOOKUP($B59,'Base de datos'!$A$3:$K$24,2,FALSE),0),""))</f>
        <v/>
      </c>
    </row>
    <row r="60" spans="1:15" x14ac:dyDescent="0.25">
      <c r="A60" s="4"/>
      <c r="B60" s="4"/>
      <c r="C60" s="5" t="str">
        <f>IFERROR(VLOOKUP($B60,'Base de datos'!$A$3:$K$24,3,FALSE),"")</f>
        <v/>
      </c>
      <c r="D60" s="4" t="str">
        <f t="shared" si="1"/>
        <v/>
      </c>
      <c r="E60" s="6"/>
      <c r="F60" s="7" t="str">
        <f>IF($B60="","",IF(OR(UPPER(IFERROR(VLOOKUP($B60,'Base de datos'!$A$3:$K$24,11,FALSE),""))="NO",ISNUMBER(SEARCH("no sometida",IFERROR(VLOOKUP($B60,'Base de datos'!$A$3:$K$24,10,FALSE),""))),ISNUMBER(SEARCH("no fiscal",IFERROR(VLOOKUP($B60,'Base de datos'!$A$3:$K$24,10,FALSE),"")))),"",IF(OR(OR(ISNUMBER(SEARCH("Hach",$B60)),ISNUMBER(SEARCH("Ketamina",$B60))),AND(IFERROR(VLOOKUP($B60,'Base de datos'!$A$3:$K$24,9,FALSE),"")&lt;&gt;"",IFERROR(VLOOKUP($B60,'Base de datos'!$A$3:$K$24,9,FALSE),"")&lt;&gt;0)),"",IFERROR($M60*VLOOKUP($B60,'Base de datos'!$A$3:$K$24,8,FALSE)/1000,""))))</f>
        <v/>
      </c>
      <c r="G60" s="7" t="str">
        <f>IF($B60="","",IF(OR(UPPER(IFERROR(VLOOKUP($B60,'Base de datos'!$A$3:$K$24,11,FALSE),""))="NO",ISNUMBER(SEARCH("no sometida",IFERROR(VLOOKUP($B60,'Base de datos'!$A$3:$K$24,10,FALSE),""))),ISNUMBER(SEARCH("no fiscal",IFERROR(VLOOKUP($B60,'Base de datos'!$A$3:$K$24,10,FALSE),"")))),"",IFERROR(IF(OR(ISNUMBER(SEARCH("Hach",$B60)),ISNUMBER(SEARCH("Ketamina",$B60))),IF(VLOOKUP($B60,'Base de datos'!$A$3:$K$24,6,FALSE)="","",$E60*VLOOKUP($B60,'Base de datos'!$A$3:$K$24,6,FALSE)),IF(AND(IFERROR(VLOOKUP($B60,'Base de datos'!$A$3:$K$24,9,FALSE),"")&lt;&gt;"",IFERROR(VLOOKUP($B60,'Base de datos'!$A$3:$K$24,9,FALSE),"")&lt;&gt;0),"",IF(VLOOKUP($B60,'Base de datos'!$A$3:$K$24,6,FALSE)="","",$N60*VLOOKUP($B60,'Base de datos'!$A$3:$K$24,6,FALSE)))),"")))</f>
        <v/>
      </c>
      <c r="H60" s="7" t="str">
        <f>IF($B60="","",IF(OR(UPPER(IFERROR(VLOOKUP($B60,'Base de datos'!$A$3:$K$24,11,FALSE),""))="NO",ISNUMBER(SEARCH("no sometida",IFERROR(VLOOKUP($B60,'Base de datos'!$A$3:$K$24,10,FALSE),""))),ISNUMBER(SEARCH("no fiscal",IFERROR(VLOOKUP($B60,'Base de datos'!$A$3:$K$24,10,FALSE),"")))),"",IF(OR(ISNUMBER(SEARCH("Hach",$B60)),ISNUMBER(SEARCH("Ketamina",$B60))),"",IF(AND(IFERROR(VLOOKUP($B60,'Base de datos'!$A$3:$K$24,9,FALSE),"")&lt;&gt;"",IFERROR(VLOOKUP($B60,'Base de datos'!$A$3:$K$24,9,FALSE),"")&lt;&gt;0),$E60*IFERROR(VLOOKUP($B60,'Base de datos'!$A$3:$K$24,9,FALSE),""),IFERROR($O60*VLOOKUP($B60,'Base de datos'!$A$3:$K$24,4,FALSE),"")))))</f>
        <v/>
      </c>
      <c r="I60" s="5" t="str">
        <f>IFERROR(VLOOKUP($B60,'Base de datos'!$A$3:$K$24,7,FALSE),"")</f>
        <v/>
      </c>
      <c r="J60" s="13" t="str">
        <f>IFERROR(VLOOKUP($B60,'Base de datos'!$A$3:$K$24,10,FALSE),"")</f>
        <v/>
      </c>
      <c r="K60" s="6"/>
      <c r="L60" s="4"/>
      <c r="M60" s="6" t="str">
        <f>IF(OR(OR(UPPER(IFERROR(VLOOKUP($B60,'Base de datos'!$A$3:$K$24,11,FALSE),""))="NO",ISNUMBER(SEARCH("no sometida",IFERROR(VLOOKUP($B60,'Base de datos'!$A$3:$K$24,10,FALSE),""))),ISNUMBER(SEARCH("no fiscal",IFERROR(VLOOKUP($B60,'Base de datos'!$A$3:$K$24,10,FALSE),"")))),OR(ISNUMBER(SEARCH("Hach",$B60)),ISNUMBER(SEARCH("Ketamina",$B60))),AND(IFERROR(VLOOKUP($B60,'Base de datos'!$A$3:$K$24,9,FALSE),"")&lt;&gt;"",IFERROR(VLOOKUP($B60,'Base de datos'!$A$3:$K$24,9,FALSE),"")&lt;&gt;0)),"",IFERROR($E60*$C60/$I60,""))</f>
        <v/>
      </c>
      <c r="N60" s="6" t="str">
        <f>IF(OR(OR(UPPER(IFERROR(VLOOKUP($B60,'Base de datos'!$A$3:$K$24,11,FALSE),""))="NO",ISNUMBER(SEARCH("no sometida",IFERROR(VLOOKUP($B60,'Base de datos'!$A$3:$K$24,10,FALSE),""))),ISNUMBER(SEARCH("no fiscal",IFERROR(VLOOKUP($B60,'Base de datos'!$A$3:$K$24,10,FALSE),"")))),OR(ISNUMBER(SEARCH("Hach",$B60)),ISNUMBER(SEARCH("Ketamina",$B60))),AND(IFERROR(VLOOKUP($B60,'Base de datos'!$A$3:$K$24,9,FALSE),"")&lt;&gt;"",IFERROR(VLOOKUP($B60,'Base de datos'!$A$3:$K$24,9,FALSE),"")&lt;&gt;0)),"",IFERROR($E60*$C60/IFERROR(VLOOKUP($B60,'Base de datos'!$A$3:$K$24,5,FALSE),0),""))</f>
        <v/>
      </c>
      <c r="O60" s="6" t="str">
        <f>IF(OR(OR(UPPER(IFERROR(VLOOKUP($B60,'Base de datos'!$A$3:$K$24,11,FALSE),""))="NO",ISNUMBER(SEARCH("no sometida",IFERROR(VLOOKUP($B60,'Base de datos'!$A$3:$K$24,10,FALSE),""))),ISNUMBER(SEARCH("no fiscal",IFERROR(VLOOKUP($B60,'Base de datos'!$A$3:$K$24,10,FALSE),"")))),OR(ISNUMBER(SEARCH("Hach",$B60)),ISNUMBER(SEARCH("Ketamina",$B60))),AND(IFERROR(VLOOKUP($B60,'Base de datos'!$A$3:$K$24,9,FALSE),"")&lt;&gt;"",IFERROR(VLOOKUP($B60,'Base de datos'!$A$3:$K$24,9,FALSE),"")&lt;&gt;0)),"",IFERROR((($E60*$C60/IFERROR(VLOOKUP($B60,'Base de datos'!$A$3:$K$24,3,FALSE),0))*1000)/IFERROR(VLOOKUP($B60,'Base de datos'!$A$3:$K$24,2,FALSE),0),""))</f>
        <v/>
      </c>
    </row>
    <row r="61" spans="1:15" x14ac:dyDescent="0.25">
      <c r="A61" s="4"/>
      <c r="B61" s="4"/>
      <c r="C61" s="5" t="str">
        <f>IFERROR(VLOOKUP($B61,'Base de datos'!$A$3:$K$24,3,FALSE),"")</f>
        <v/>
      </c>
      <c r="D61" s="4" t="str">
        <f t="shared" si="1"/>
        <v/>
      </c>
      <c r="E61" s="6"/>
      <c r="F61" s="7" t="str">
        <f>IF($B61="","",IF(OR(UPPER(IFERROR(VLOOKUP($B61,'Base de datos'!$A$3:$K$24,11,FALSE),""))="NO",ISNUMBER(SEARCH("no sometida",IFERROR(VLOOKUP($B61,'Base de datos'!$A$3:$K$24,10,FALSE),""))),ISNUMBER(SEARCH("no fiscal",IFERROR(VLOOKUP($B61,'Base de datos'!$A$3:$K$24,10,FALSE),"")))),"",IF(OR(OR(ISNUMBER(SEARCH("Hach",$B61)),ISNUMBER(SEARCH("Ketamina",$B61))),AND(IFERROR(VLOOKUP($B61,'Base de datos'!$A$3:$K$24,9,FALSE),"")&lt;&gt;"",IFERROR(VLOOKUP($B61,'Base de datos'!$A$3:$K$24,9,FALSE),"")&lt;&gt;0)),"",IFERROR($M61*VLOOKUP($B61,'Base de datos'!$A$3:$K$24,8,FALSE)/1000,""))))</f>
        <v/>
      </c>
      <c r="G61" s="7" t="str">
        <f>IF($B61="","",IF(OR(UPPER(IFERROR(VLOOKUP($B61,'Base de datos'!$A$3:$K$24,11,FALSE),""))="NO",ISNUMBER(SEARCH("no sometida",IFERROR(VLOOKUP($B61,'Base de datos'!$A$3:$K$24,10,FALSE),""))),ISNUMBER(SEARCH("no fiscal",IFERROR(VLOOKUP($B61,'Base de datos'!$A$3:$K$24,10,FALSE),"")))),"",IFERROR(IF(OR(ISNUMBER(SEARCH("Hach",$B61)),ISNUMBER(SEARCH("Ketamina",$B61))),IF(VLOOKUP($B61,'Base de datos'!$A$3:$K$24,6,FALSE)="","",$E61*VLOOKUP($B61,'Base de datos'!$A$3:$K$24,6,FALSE)),IF(AND(IFERROR(VLOOKUP($B61,'Base de datos'!$A$3:$K$24,9,FALSE),"")&lt;&gt;"",IFERROR(VLOOKUP($B61,'Base de datos'!$A$3:$K$24,9,FALSE),"")&lt;&gt;0),"",IF(VLOOKUP($B61,'Base de datos'!$A$3:$K$24,6,FALSE)="","",$N61*VLOOKUP($B61,'Base de datos'!$A$3:$K$24,6,FALSE)))),"")))</f>
        <v/>
      </c>
      <c r="H61" s="7" t="str">
        <f>IF($B61="","",IF(OR(UPPER(IFERROR(VLOOKUP($B61,'Base de datos'!$A$3:$K$24,11,FALSE),""))="NO",ISNUMBER(SEARCH("no sometida",IFERROR(VLOOKUP($B61,'Base de datos'!$A$3:$K$24,10,FALSE),""))),ISNUMBER(SEARCH("no fiscal",IFERROR(VLOOKUP($B61,'Base de datos'!$A$3:$K$24,10,FALSE),"")))),"",IF(OR(ISNUMBER(SEARCH("Hach",$B61)),ISNUMBER(SEARCH("Ketamina",$B61))),"",IF(AND(IFERROR(VLOOKUP($B61,'Base de datos'!$A$3:$K$24,9,FALSE),"")&lt;&gt;"",IFERROR(VLOOKUP($B61,'Base de datos'!$A$3:$K$24,9,FALSE),"")&lt;&gt;0),$E61*IFERROR(VLOOKUP($B61,'Base de datos'!$A$3:$K$24,9,FALSE),""),IFERROR($O61*VLOOKUP($B61,'Base de datos'!$A$3:$K$24,4,FALSE),"")))))</f>
        <v/>
      </c>
      <c r="I61" s="5" t="str">
        <f>IFERROR(VLOOKUP($B61,'Base de datos'!$A$3:$K$24,7,FALSE),"")</f>
        <v/>
      </c>
      <c r="J61" s="13" t="str">
        <f>IFERROR(VLOOKUP($B61,'Base de datos'!$A$3:$K$24,10,FALSE),"")</f>
        <v/>
      </c>
      <c r="K61" s="6"/>
      <c r="L61" s="4"/>
      <c r="M61" s="6" t="str">
        <f>IF(OR(OR(UPPER(IFERROR(VLOOKUP($B61,'Base de datos'!$A$3:$K$24,11,FALSE),""))="NO",ISNUMBER(SEARCH("no sometida",IFERROR(VLOOKUP($B61,'Base de datos'!$A$3:$K$24,10,FALSE),""))),ISNUMBER(SEARCH("no fiscal",IFERROR(VLOOKUP($B61,'Base de datos'!$A$3:$K$24,10,FALSE),"")))),OR(ISNUMBER(SEARCH("Hach",$B61)),ISNUMBER(SEARCH("Ketamina",$B61))),AND(IFERROR(VLOOKUP($B61,'Base de datos'!$A$3:$K$24,9,FALSE),"")&lt;&gt;"",IFERROR(VLOOKUP($B61,'Base de datos'!$A$3:$K$24,9,FALSE),"")&lt;&gt;0)),"",IFERROR($E61*$C61/$I61,""))</f>
        <v/>
      </c>
      <c r="N61" s="6" t="str">
        <f>IF(OR(OR(UPPER(IFERROR(VLOOKUP($B61,'Base de datos'!$A$3:$K$24,11,FALSE),""))="NO",ISNUMBER(SEARCH("no sometida",IFERROR(VLOOKUP($B61,'Base de datos'!$A$3:$K$24,10,FALSE),""))),ISNUMBER(SEARCH("no fiscal",IFERROR(VLOOKUP($B61,'Base de datos'!$A$3:$K$24,10,FALSE),"")))),OR(ISNUMBER(SEARCH("Hach",$B61)),ISNUMBER(SEARCH("Ketamina",$B61))),AND(IFERROR(VLOOKUP($B61,'Base de datos'!$A$3:$K$24,9,FALSE),"")&lt;&gt;"",IFERROR(VLOOKUP($B61,'Base de datos'!$A$3:$K$24,9,FALSE),"")&lt;&gt;0)),"",IFERROR($E61*$C61/IFERROR(VLOOKUP($B61,'Base de datos'!$A$3:$K$24,5,FALSE),0),""))</f>
        <v/>
      </c>
      <c r="O61" s="6" t="str">
        <f>IF(OR(OR(UPPER(IFERROR(VLOOKUP($B61,'Base de datos'!$A$3:$K$24,11,FALSE),""))="NO",ISNUMBER(SEARCH("no sometida",IFERROR(VLOOKUP($B61,'Base de datos'!$A$3:$K$24,10,FALSE),""))),ISNUMBER(SEARCH("no fiscal",IFERROR(VLOOKUP($B61,'Base de datos'!$A$3:$K$24,10,FALSE),"")))),OR(ISNUMBER(SEARCH("Hach",$B61)),ISNUMBER(SEARCH("Ketamina",$B61))),AND(IFERROR(VLOOKUP($B61,'Base de datos'!$A$3:$K$24,9,FALSE),"")&lt;&gt;"",IFERROR(VLOOKUP($B61,'Base de datos'!$A$3:$K$24,9,FALSE),"")&lt;&gt;0)),"",IFERROR((($E61*$C61/IFERROR(VLOOKUP($B61,'Base de datos'!$A$3:$K$24,3,FALSE),0))*1000)/IFERROR(VLOOKUP($B61,'Base de datos'!$A$3:$K$24,2,FALSE),0),""))</f>
        <v/>
      </c>
    </row>
    <row r="62" spans="1:15" x14ac:dyDescent="0.25">
      <c r="A62" s="4"/>
      <c r="B62" s="4"/>
      <c r="C62" s="5" t="str">
        <f>IFERROR(VLOOKUP($B62,'Base de datos'!$A$3:$K$24,3,FALSE),"")</f>
        <v/>
      </c>
      <c r="D62" s="4" t="str">
        <f t="shared" si="1"/>
        <v/>
      </c>
      <c r="E62" s="6"/>
      <c r="F62" s="7" t="str">
        <f>IF($B62="","",IF(OR(UPPER(IFERROR(VLOOKUP($B62,'Base de datos'!$A$3:$K$24,11,FALSE),""))="NO",ISNUMBER(SEARCH("no sometida",IFERROR(VLOOKUP($B62,'Base de datos'!$A$3:$K$24,10,FALSE),""))),ISNUMBER(SEARCH("no fiscal",IFERROR(VLOOKUP($B62,'Base de datos'!$A$3:$K$24,10,FALSE),"")))),"",IF(OR(OR(ISNUMBER(SEARCH("Hach",$B62)),ISNUMBER(SEARCH("Ketamina",$B62))),AND(IFERROR(VLOOKUP($B62,'Base de datos'!$A$3:$K$24,9,FALSE),"")&lt;&gt;"",IFERROR(VLOOKUP($B62,'Base de datos'!$A$3:$K$24,9,FALSE),"")&lt;&gt;0)),"",IFERROR($M62*VLOOKUP($B62,'Base de datos'!$A$3:$K$24,8,FALSE)/1000,""))))</f>
        <v/>
      </c>
      <c r="G62" s="7" t="str">
        <f>IF($B62="","",IF(OR(UPPER(IFERROR(VLOOKUP($B62,'Base de datos'!$A$3:$K$24,11,FALSE),""))="NO",ISNUMBER(SEARCH("no sometida",IFERROR(VLOOKUP($B62,'Base de datos'!$A$3:$K$24,10,FALSE),""))),ISNUMBER(SEARCH("no fiscal",IFERROR(VLOOKUP($B62,'Base de datos'!$A$3:$K$24,10,FALSE),"")))),"",IFERROR(IF(OR(ISNUMBER(SEARCH("Hach",$B62)),ISNUMBER(SEARCH("Ketamina",$B62))),IF(VLOOKUP($B62,'Base de datos'!$A$3:$K$24,6,FALSE)="","",$E62*VLOOKUP($B62,'Base de datos'!$A$3:$K$24,6,FALSE)),IF(AND(IFERROR(VLOOKUP($B62,'Base de datos'!$A$3:$K$24,9,FALSE),"")&lt;&gt;"",IFERROR(VLOOKUP($B62,'Base de datos'!$A$3:$K$24,9,FALSE),"")&lt;&gt;0),"",IF(VLOOKUP($B62,'Base de datos'!$A$3:$K$24,6,FALSE)="","",$N62*VLOOKUP($B62,'Base de datos'!$A$3:$K$24,6,FALSE)))),"")))</f>
        <v/>
      </c>
      <c r="H62" s="7" t="str">
        <f>IF($B62="","",IF(OR(UPPER(IFERROR(VLOOKUP($B62,'Base de datos'!$A$3:$K$24,11,FALSE),""))="NO",ISNUMBER(SEARCH("no sometida",IFERROR(VLOOKUP($B62,'Base de datos'!$A$3:$K$24,10,FALSE),""))),ISNUMBER(SEARCH("no fiscal",IFERROR(VLOOKUP($B62,'Base de datos'!$A$3:$K$24,10,FALSE),"")))),"",IF(OR(ISNUMBER(SEARCH("Hach",$B62)),ISNUMBER(SEARCH("Ketamina",$B62))),"",IF(AND(IFERROR(VLOOKUP($B62,'Base de datos'!$A$3:$K$24,9,FALSE),"")&lt;&gt;"",IFERROR(VLOOKUP($B62,'Base de datos'!$A$3:$K$24,9,FALSE),"")&lt;&gt;0),$E62*IFERROR(VLOOKUP($B62,'Base de datos'!$A$3:$K$24,9,FALSE),""),IFERROR($O62*VLOOKUP($B62,'Base de datos'!$A$3:$K$24,4,FALSE),"")))))</f>
        <v/>
      </c>
      <c r="I62" s="5" t="str">
        <f>IFERROR(VLOOKUP($B62,'Base de datos'!$A$3:$K$24,7,FALSE),"")</f>
        <v/>
      </c>
      <c r="J62" s="13" t="str">
        <f>IFERROR(VLOOKUP($B62,'Base de datos'!$A$3:$K$24,10,FALSE),"")</f>
        <v/>
      </c>
      <c r="K62" s="6"/>
      <c r="L62" s="4"/>
      <c r="M62" s="6" t="str">
        <f>IF(OR(OR(UPPER(IFERROR(VLOOKUP($B62,'Base de datos'!$A$3:$K$24,11,FALSE),""))="NO",ISNUMBER(SEARCH("no sometida",IFERROR(VLOOKUP($B62,'Base de datos'!$A$3:$K$24,10,FALSE),""))),ISNUMBER(SEARCH("no fiscal",IFERROR(VLOOKUP($B62,'Base de datos'!$A$3:$K$24,10,FALSE),"")))),OR(ISNUMBER(SEARCH("Hach",$B62)),ISNUMBER(SEARCH("Ketamina",$B62))),AND(IFERROR(VLOOKUP($B62,'Base de datos'!$A$3:$K$24,9,FALSE),"")&lt;&gt;"",IFERROR(VLOOKUP($B62,'Base de datos'!$A$3:$K$24,9,FALSE),"")&lt;&gt;0)),"",IFERROR($E62*$C62/$I62,""))</f>
        <v/>
      </c>
      <c r="N62" s="6" t="str">
        <f>IF(OR(OR(UPPER(IFERROR(VLOOKUP($B62,'Base de datos'!$A$3:$K$24,11,FALSE),""))="NO",ISNUMBER(SEARCH("no sometida",IFERROR(VLOOKUP($B62,'Base de datos'!$A$3:$K$24,10,FALSE),""))),ISNUMBER(SEARCH("no fiscal",IFERROR(VLOOKUP($B62,'Base de datos'!$A$3:$K$24,10,FALSE),"")))),OR(ISNUMBER(SEARCH("Hach",$B62)),ISNUMBER(SEARCH("Ketamina",$B62))),AND(IFERROR(VLOOKUP($B62,'Base de datos'!$A$3:$K$24,9,FALSE),"")&lt;&gt;"",IFERROR(VLOOKUP($B62,'Base de datos'!$A$3:$K$24,9,FALSE),"")&lt;&gt;0)),"",IFERROR($E62*$C62/IFERROR(VLOOKUP($B62,'Base de datos'!$A$3:$K$24,5,FALSE),0),""))</f>
        <v/>
      </c>
      <c r="O62" s="6" t="str">
        <f>IF(OR(OR(UPPER(IFERROR(VLOOKUP($B62,'Base de datos'!$A$3:$K$24,11,FALSE),""))="NO",ISNUMBER(SEARCH("no sometida",IFERROR(VLOOKUP($B62,'Base de datos'!$A$3:$K$24,10,FALSE),""))),ISNUMBER(SEARCH("no fiscal",IFERROR(VLOOKUP($B62,'Base de datos'!$A$3:$K$24,10,FALSE),"")))),OR(ISNUMBER(SEARCH("Hach",$B62)),ISNUMBER(SEARCH("Ketamina",$B62))),AND(IFERROR(VLOOKUP($B62,'Base de datos'!$A$3:$K$24,9,FALSE),"")&lt;&gt;"",IFERROR(VLOOKUP($B62,'Base de datos'!$A$3:$K$24,9,FALSE),"")&lt;&gt;0)),"",IFERROR((($E62*$C62/IFERROR(VLOOKUP($B62,'Base de datos'!$A$3:$K$24,3,FALSE),0))*1000)/IFERROR(VLOOKUP($B62,'Base de datos'!$A$3:$K$24,2,FALSE),0),""))</f>
        <v/>
      </c>
    </row>
    <row r="63" spans="1:15" x14ac:dyDescent="0.25">
      <c r="A63" s="4"/>
      <c r="B63" s="4"/>
      <c r="C63" s="5" t="str">
        <f>IFERROR(VLOOKUP($B63,'Base de datos'!$A$3:$K$24,3,FALSE),"")</f>
        <v/>
      </c>
      <c r="D63" s="4" t="str">
        <f t="shared" si="1"/>
        <v/>
      </c>
      <c r="E63" s="6"/>
      <c r="F63" s="7" t="str">
        <f>IF($B63="","",IF(OR(UPPER(IFERROR(VLOOKUP($B63,'Base de datos'!$A$3:$K$24,11,FALSE),""))="NO",ISNUMBER(SEARCH("no sometida",IFERROR(VLOOKUP($B63,'Base de datos'!$A$3:$K$24,10,FALSE),""))),ISNUMBER(SEARCH("no fiscal",IFERROR(VLOOKUP($B63,'Base de datos'!$A$3:$K$24,10,FALSE),"")))),"",IF(OR(OR(ISNUMBER(SEARCH("Hach",$B63)),ISNUMBER(SEARCH("Ketamina",$B63))),AND(IFERROR(VLOOKUP($B63,'Base de datos'!$A$3:$K$24,9,FALSE),"")&lt;&gt;"",IFERROR(VLOOKUP($B63,'Base de datos'!$A$3:$K$24,9,FALSE),"")&lt;&gt;0)),"",IFERROR($M63*VLOOKUP($B63,'Base de datos'!$A$3:$K$24,8,FALSE)/1000,""))))</f>
        <v/>
      </c>
      <c r="G63" s="7" t="str">
        <f>IF($B63="","",IF(OR(UPPER(IFERROR(VLOOKUP($B63,'Base de datos'!$A$3:$K$24,11,FALSE),""))="NO",ISNUMBER(SEARCH("no sometida",IFERROR(VLOOKUP($B63,'Base de datos'!$A$3:$K$24,10,FALSE),""))),ISNUMBER(SEARCH("no fiscal",IFERROR(VLOOKUP($B63,'Base de datos'!$A$3:$K$24,10,FALSE),"")))),"",IFERROR(IF(OR(ISNUMBER(SEARCH("Hach",$B63)),ISNUMBER(SEARCH("Ketamina",$B63))),IF(VLOOKUP($B63,'Base de datos'!$A$3:$K$24,6,FALSE)="","",$E63*VLOOKUP($B63,'Base de datos'!$A$3:$K$24,6,FALSE)),IF(AND(IFERROR(VLOOKUP($B63,'Base de datos'!$A$3:$K$24,9,FALSE),"")&lt;&gt;"",IFERROR(VLOOKUP($B63,'Base de datos'!$A$3:$K$24,9,FALSE),"")&lt;&gt;0),"",IF(VLOOKUP($B63,'Base de datos'!$A$3:$K$24,6,FALSE)="","",$N63*VLOOKUP($B63,'Base de datos'!$A$3:$K$24,6,FALSE)))),"")))</f>
        <v/>
      </c>
      <c r="H63" s="7" t="str">
        <f>IF($B63="","",IF(OR(UPPER(IFERROR(VLOOKUP($B63,'Base de datos'!$A$3:$K$24,11,FALSE),""))="NO",ISNUMBER(SEARCH("no sometida",IFERROR(VLOOKUP($B63,'Base de datos'!$A$3:$K$24,10,FALSE),""))),ISNUMBER(SEARCH("no fiscal",IFERROR(VLOOKUP($B63,'Base de datos'!$A$3:$K$24,10,FALSE),"")))),"",IF(OR(ISNUMBER(SEARCH("Hach",$B63)),ISNUMBER(SEARCH("Ketamina",$B63))),"",IF(AND(IFERROR(VLOOKUP($B63,'Base de datos'!$A$3:$K$24,9,FALSE),"")&lt;&gt;"",IFERROR(VLOOKUP($B63,'Base de datos'!$A$3:$K$24,9,FALSE),"")&lt;&gt;0),$E63*IFERROR(VLOOKUP($B63,'Base de datos'!$A$3:$K$24,9,FALSE),""),IFERROR($O63*VLOOKUP($B63,'Base de datos'!$A$3:$K$24,4,FALSE),"")))))</f>
        <v/>
      </c>
      <c r="I63" s="5" t="str">
        <f>IFERROR(VLOOKUP($B63,'Base de datos'!$A$3:$K$24,7,FALSE),"")</f>
        <v/>
      </c>
      <c r="J63" s="13" t="str">
        <f>IFERROR(VLOOKUP($B63,'Base de datos'!$A$3:$K$24,10,FALSE),"")</f>
        <v/>
      </c>
      <c r="K63" s="6"/>
      <c r="L63" s="4"/>
      <c r="M63" s="6" t="str">
        <f>IF(OR(OR(UPPER(IFERROR(VLOOKUP($B63,'Base de datos'!$A$3:$K$24,11,FALSE),""))="NO",ISNUMBER(SEARCH("no sometida",IFERROR(VLOOKUP($B63,'Base de datos'!$A$3:$K$24,10,FALSE),""))),ISNUMBER(SEARCH("no fiscal",IFERROR(VLOOKUP($B63,'Base de datos'!$A$3:$K$24,10,FALSE),"")))),OR(ISNUMBER(SEARCH("Hach",$B63)),ISNUMBER(SEARCH("Ketamina",$B63))),AND(IFERROR(VLOOKUP($B63,'Base de datos'!$A$3:$K$24,9,FALSE),"")&lt;&gt;"",IFERROR(VLOOKUP($B63,'Base de datos'!$A$3:$K$24,9,FALSE),"")&lt;&gt;0)),"",IFERROR($E63*$C63/$I63,""))</f>
        <v/>
      </c>
      <c r="N63" s="6" t="str">
        <f>IF(OR(OR(UPPER(IFERROR(VLOOKUP($B63,'Base de datos'!$A$3:$K$24,11,FALSE),""))="NO",ISNUMBER(SEARCH("no sometida",IFERROR(VLOOKUP($B63,'Base de datos'!$A$3:$K$24,10,FALSE),""))),ISNUMBER(SEARCH("no fiscal",IFERROR(VLOOKUP($B63,'Base de datos'!$A$3:$K$24,10,FALSE),"")))),OR(ISNUMBER(SEARCH("Hach",$B63)),ISNUMBER(SEARCH("Ketamina",$B63))),AND(IFERROR(VLOOKUP($B63,'Base de datos'!$A$3:$K$24,9,FALSE),"")&lt;&gt;"",IFERROR(VLOOKUP($B63,'Base de datos'!$A$3:$K$24,9,FALSE),"")&lt;&gt;0)),"",IFERROR($E63*$C63/IFERROR(VLOOKUP($B63,'Base de datos'!$A$3:$K$24,5,FALSE),0),""))</f>
        <v/>
      </c>
      <c r="O63" s="6" t="str">
        <f>IF(OR(OR(UPPER(IFERROR(VLOOKUP($B63,'Base de datos'!$A$3:$K$24,11,FALSE),""))="NO",ISNUMBER(SEARCH("no sometida",IFERROR(VLOOKUP($B63,'Base de datos'!$A$3:$K$24,10,FALSE),""))),ISNUMBER(SEARCH("no fiscal",IFERROR(VLOOKUP($B63,'Base de datos'!$A$3:$K$24,10,FALSE),"")))),OR(ISNUMBER(SEARCH("Hach",$B63)),ISNUMBER(SEARCH("Ketamina",$B63))),AND(IFERROR(VLOOKUP($B63,'Base de datos'!$A$3:$K$24,9,FALSE),"")&lt;&gt;"",IFERROR(VLOOKUP($B63,'Base de datos'!$A$3:$K$24,9,FALSE),"")&lt;&gt;0)),"",IFERROR((($E63*$C63/IFERROR(VLOOKUP($B63,'Base de datos'!$A$3:$K$24,3,FALSE),0))*1000)/IFERROR(VLOOKUP($B63,'Base de datos'!$A$3:$K$24,2,FALSE),0),""))</f>
        <v/>
      </c>
    </row>
    <row r="64" spans="1:15" x14ac:dyDescent="0.25">
      <c r="A64" s="4"/>
      <c r="B64" s="4"/>
      <c r="C64" s="5" t="str">
        <f>IFERROR(VLOOKUP($B64,'Base de datos'!$A$3:$K$24,3,FALSE),"")</f>
        <v/>
      </c>
      <c r="D64" s="4" t="str">
        <f t="shared" si="1"/>
        <v/>
      </c>
      <c r="E64" s="6"/>
      <c r="F64" s="7" t="str">
        <f>IF($B64="","",IF(OR(UPPER(IFERROR(VLOOKUP($B64,'Base de datos'!$A$3:$K$24,11,FALSE),""))="NO",ISNUMBER(SEARCH("no sometida",IFERROR(VLOOKUP($B64,'Base de datos'!$A$3:$K$24,10,FALSE),""))),ISNUMBER(SEARCH("no fiscal",IFERROR(VLOOKUP($B64,'Base de datos'!$A$3:$K$24,10,FALSE),"")))),"",IF(OR(OR(ISNUMBER(SEARCH("Hach",$B64)),ISNUMBER(SEARCH("Ketamina",$B64))),AND(IFERROR(VLOOKUP($B64,'Base de datos'!$A$3:$K$24,9,FALSE),"")&lt;&gt;"",IFERROR(VLOOKUP($B64,'Base de datos'!$A$3:$K$24,9,FALSE),"")&lt;&gt;0)),"",IFERROR($M64*VLOOKUP($B64,'Base de datos'!$A$3:$K$24,8,FALSE)/1000,""))))</f>
        <v/>
      </c>
      <c r="G64" s="7" t="str">
        <f>IF($B64="","",IF(OR(UPPER(IFERROR(VLOOKUP($B64,'Base de datos'!$A$3:$K$24,11,FALSE),""))="NO",ISNUMBER(SEARCH("no sometida",IFERROR(VLOOKUP($B64,'Base de datos'!$A$3:$K$24,10,FALSE),""))),ISNUMBER(SEARCH("no fiscal",IFERROR(VLOOKUP($B64,'Base de datos'!$A$3:$K$24,10,FALSE),"")))),"",IFERROR(IF(OR(ISNUMBER(SEARCH("Hach",$B64)),ISNUMBER(SEARCH("Ketamina",$B64))),IF(VLOOKUP($B64,'Base de datos'!$A$3:$K$24,6,FALSE)="","",$E64*VLOOKUP($B64,'Base de datos'!$A$3:$K$24,6,FALSE)),IF(AND(IFERROR(VLOOKUP($B64,'Base de datos'!$A$3:$K$24,9,FALSE),"")&lt;&gt;"",IFERROR(VLOOKUP($B64,'Base de datos'!$A$3:$K$24,9,FALSE),"")&lt;&gt;0),"",IF(VLOOKUP($B64,'Base de datos'!$A$3:$K$24,6,FALSE)="","",$N64*VLOOKUP($B64,'Base de datos'!$A$3:$K$24,6,FALSE)))),"")))</f>
        <v/>
      </c>
      <c r="H64" s="7" t="str">
        <f>IF($B64="","",IF(OR(UPPER(IFERROR(VLOOKUP($B64,'Base de datos'!$A$3:$K$24,11,FALSE),""))="NO",ISNUMBER(SEARCH("no sometida",IFERROR(VLOOKUP($B64,'Base de datos'!$A$3:$K$24,10,FALSE),""))),ISNUMBER(SEARCH("no fiscal",IFERROR(VLOOKUP($B64,'Base de datos'!$A$3:$K$24,10,FALSE),"")))),"",IF(OR(ISNUMBER(SEARCH("Hach",$B64)),ISNUMBER(SEARCH("Ketamina",$B64))),"",IF(AND(IFERROR(VLOOKUP($B64,'Base de datos'!$A$3:$K$24,9,FALSE),"")&lt;&gt;"",IFERROR(VLOOKUP($B64,'Base de datos'!$A$3:$K$24,9,FALSE),"")&lt;&gt;0),$E64*IFERROR(VLOOKUP($B64,'Base de datos'!$A$3:$K$24,9,FALSE),""),IFERROR($O64*VLOOKUP($B64,'Base de datos'!$A$3:$K$24,4,FALSE),"")))))</f>
        <v/>
      </c>
      <c r="I64" s="5" t="str">
        <f>IFERROR(VLOOKUP($B64,'Base de datos'!$A$3:$K$24,7,FALSE),"")</f>
        <v/>
      </c>
      <c r="J64" s="13" t="str">
        <f>IFERROR(VLOOKUP($B64,'Base de datos'!$A$3:$K$24,10,FALSE),"")</f>
        <v/>
      </c>
      <c r="K64" s="6"/>
      <c r="L64" s="4"/>
      <c r="M64" s="6" t="str">
        <f>IF(OR(OR(UPPER(IFERROR(VLOOKUP($B64,'Base de datos'!$A$3:$K$24,11,FALSE),""))="NO",ISNUMBER(SEARCH("no sometida",IFERROR(VLOOKUP($B64,'Base de datos'!$A$3:$K$24,10,FALSE),""))),ISNUMBER(SEARCH("no fiscal",IFERROR(VLOOKUP($B64,'Base de datos'!$A$3:$K$24,10,FALSE),"")))),OR(ISNUMBER(SEARCH("Hach",$B64)),ISNUMBER(SEARCH("Ketamina",$B64))),AND(IFERROR(VLOOKUP($B64,'Base de datos'!$A$3:$K$24,9,FALSE),"")&lt;&gt;"",IFERROR(VLOOKUP($B64,'Base de datos'!$A$3:$K$24,9,FALSE),"")&lt;&gt;0)),"",IFERROR($E64*$C64/$I64,""))</f>
        <v/>
      </c>
      <c r="N64" s="6" t="str">
        <f>IF(OR(OR(UPPER(IFERROR(VLOOKUP($B64,'Base de datos'!$A$3:$K$24,11,FALSE),""))="NO",ISNUMBER(SEARCH("no sometida",IFERROR(VLOOKUP($B64,'Base de datos'!$A$3:$K$24,10,FALSE),""))),ISNUMBER(SEARCH("no fiscal",IFERROR(VLOOKUP($B64,'Base de datos'!$A$3:$K$24,10,FALSE),"")))),OR(ISNUMBER(SEARCH("Hach",$B64)),ISNUMBER(SEARCH("Ketamina",$B64))),AND(IFERROR(VLOOKUP($B64,'Base de datos'!$A$3:$K$24,9,FALSE),"")&lt;&gt;"",IFERROR(VLOOKUP($B64,'Base de datos'!$A$3:$K$24,9,FALSE),"")&lt;&gt;0)),"",IFERROR($E64*$C64/IFERROR(VLOOKUP($B64,'Base de datos'!$A$3:$K$24,5,FALSE),0),""))</f>
        <v/>
      </c>
      <c r="O64" s="6" t="str">
        <f>IF(OR(OR(UPPER(IFERROR(VLOOKUP($B64,'Base de datos'!$A$3:$K$24,11,FALSE),""))="NO",ISNUMBER(SEARCH("no sometida",IFERROR(VLOOKUP($B64,'Base de datos'!$A$3:$K$24,10,FALSE),""))),ISNUMBER(SEARCH("no fiscal",IFERROR(VLOOKUP($B64,'Base de datos'!$A$3:$K$24,10,FALSE),"")))),OR(ISNUMBER(SEARCH("Hach",$B64)),ISNUMBER(SEARCH("Ketamina",$B64))),AND(IFERROR(VLOOKUP($B64,'Base de datos'!$A$3:$K$24,9,FALSE),"")&lt;&gt;"",IFERROR(VLOOKUP($B64,'Base de datos'!$A$3:$K$24,9,FALSE),"")&lt;&gt;0)),"",IFERROR((($E64*$C64/IFERROR(VLOOKUP($B64,'Base de datos'!$A$3:$K$24,3,FALSE),0))*1000)/IFERROR(VLOOKUP($B64,'Base de datos'!$A$3:$K$24,2,FALSE),0),""))</f>
        <v/>
      </c>
    </row>
    <row r="65" spans="1:15" x14ac:dyDescent="0.25">
      <c r="A65" s="4"/>
      <c r="B65" s="4"/>
      <c r="C65" s="5" t="str">
        <f>IFERROR(VLOOKUP($B65,'Base de datos'!$A$3:$K$24,3,FALSE),"")</f>
        <v/>
      </c>
      <c r="D65" s="4" t="str">
        <f t="shared" si="1"/>
        <v/>
      </c>
      <c r="E65" s="6"/>
      <c r="F65" s="7" t="str">
        <f>IF($B65="","",IF(OR(UPPER(IFERROR(VLOOKUP($B65,'Base de datos'!$A$3:$K$24,11,FALSE),""))="NO",ISNUMBER(SEARCH("no sometida",IFERROR(VLOOKUP($B65,'Base de datos'!$A$3:$K$24,10,FALSE),""))),ISNUMBER(SEARCH("no fiscal",IFERROR(VLOOKUP($B65,'Base de datos'!$A$3:$K$24,10,FALSE),"")))),"",IF(OR(OR(ISNUMBER(SEARCH("Hach",$B65)),ISNUMBER(SEARCH("Ketamina",$B65))),AND(IFERROR(VLOOKUP($B65,'Base de datos'!$A$3:$K$24,9,FALSE),"")&lt;&gt;"",IFERROR(VLOOKUP($B65,'Base de datos'!$A$3:$K$24,9,FALSE),"")&lt;&gt;0)),"",IFERROR($M65*VLOOKUP($B65,'Base de datos'!$A$3:$K$24,8,FALSE)/1000,""))))</f>
        <v/>
      </c>
      <c r="G65" s="7" t="str">
        <f>IF($B65="","",IF(OR(UPPER(IFERROR(VLOOKUP($B65,'Base de datos'!$A$3:$K$24,11,FALSE),""))="NO",ISNUMBER(SEARCH("no sometida",IFERROR(VLOOKUP($B65,'Base de datos'!$A$3:$K$24,10,FALSE),""))),ISNUMBER(SEARCH("no fiscal",IFERROR(VLOOKUP($B65,'Base de datos'!$A$3:$K$24,10,FALSE),"")))),"",IFERROR(IF(OR(ISNUMBER(SEARCH("Hach",$B65)),ISNUMBER(SEARCH("Ketamina",$B65))),IF(VLOOKUP($B65,'Base de datos'!$A$3:$K$24,6,FALSE)="","",$E65*VLOOKUP($B65,'Base de datos'!$A$3:$K$24,6,FALSE)),IF(AND(IFERROR(VLOOKUP($B65,'Base de datos'!$A$3:$K$24,9,FALSE),"")&lt;&gt;"",IFERROR(VLOOKUP($B65,'Base de datos'!$A$3:$K$24,9,FALSE),"")&lt;&gt;0),"",IF(VLOOKUP($B65,'Base de datos'!$A$3:$K$24,6,FALSE)="","",$N65*VLOOKUP($B65,'Base de datos'!$A$3:$K$24,6,FALSE)))),"")))</f>
        <v/>
      </c>
      <c r="H65" s="7" t="str">
        <f>IF($B65="","",IF(OR(UPPER(IFERROR(VLOOKUP($B65,'Base de datos'!$A$3:$K$24,11,FALSE),""))="NO",ISNUMBER(SEARCH("no sometida",IFERROR(VLOOKUP($B65,'Base de datos'!$A$3:$K$24,10,FALSE),""))),ISNUMBER(SEARCH("no fiscal",IFERROR(VLOOKUP($B65,'Base de datos'!$A$3:$K$24,10,FALSE),"")))),"",IF(OR(ISNUMBER(SEARCH("Hach",$B65)),ISNUMBER(SEARCH("Ketamina",$B65))),"",IF(AND(IFERROR(VLOOKUP($B65,'Base de datos'!$A$3:$K$24,9,FALSE),"")&lt;&gt;"",IFERROR(VLOOKUP($B65,'Base de datos'!$A$3:$K$24,9,FALSE),"")&lt;&gt;0),$E65*IFERROR(VLOOKUP($B65,'Base de datos'!$A$3:$K$24,9,FALSE),""),IFERROR($O65*VLOOKUP($B65,'Base de datos'!$A$3:$K$24,4,FALSE),"")))))</f>
        <v/>
      </c>
      <c r="I65" s="5" t="str">
        <f>IFERROR(VLOOKUP($B65,'Base de datos'!$A$3:$K$24,7,FALSE),"")</f>
        <v/>
      </c>
      <c r="J65" s="13" t="str">
        <f>IFERROR(VLOOKUP($B65,'Base de datos'!$A$3:$K$24,10,FALSE),"")</f>
        <v/>
      </c>
      <c r="K65" s="6"/>
      <c r="L65" s="4"/>
      <c r="M65" s="6" t="str">
        <f>IF(OR(OR(UPPER(IFERROR(VLOOKUP($B65,'Base de datos'!$A$3:$K$24,11,FALSE),""))="NO",ISNUMBER(SEARCH("no sometida",IFERROR(VLOOKUP($B65,'Base de datos'!$A$3:$K$24,10,FALSE),""))),ISNUMBER(SEARCH("no fiscal",IFERROR(VLOOKUP($B65,'Base de datos'!$A$3:$K$24,10,FALSE),"")))),OR(ISNUMBER(SEARCH("Hach",$B65)),ISNUMBER(SEARCH("Ketamina",$B65))),AND(IFERROR(VLOOKUP($B65,'Base de datos'!$A$3:$K$24,9,FALSE),"")&lt;&gt;"",IFERROR(VLOOKUP($B65,'Base de datos'!$A$3:$K$24,9,FALSE),"")&lt;&gt;0)),"",IFERROR($E65*$C65/$I65,""))</f>
        <v/>
      </c>
      <c r="N65" s="6" t="str">
        <f>IF(OR(OR(UPPER(IFERROR(VLOOKUP($B65,'Base de datos'!$A$3:$K$24,11,FALSE),""))="NO",ISNUMBER(SEARCH("no sometida",IFERROR(VLOOKUP($B65,'Base de datos'!$A$3:$K$24,10,FALSE),""))),ISNUMBER(SEARCH("no fiscal",IFERROR(VLOOKUP($B65,'Base de datos'!$A$3:$K$24,10,FALSE),"")))),OR(ISNUMBER(SEARCH("Hach",$B65)),ISNUMBER(SEARCH("Ketamina",$B65))),AND(IFERROR(VLOOKUP($B65,'Base de datos'!$A$3:$K$24,9,FALSE),"")&lt;&gt;"",IFERROR(VLOOKUP($B65,'Base de datos'!$A$3:$K$24,9,FALSE),"")&lt;&gt;0)),"",IFERROR($E65*$C65/IFERROR(VLOOKUP($B65,'Base de datos'!$A$3:$K$24,5,FALSE),0),""))</f>
        <v/>
      </c>
      <c r="O65" s="6" t="str">
        <f>IF(OR(OR(UPPER(IFERROR(VLOOKUP($B65,'Base de datos'!$A$3:$K$24,11,FALSE),""))="NO",ISNUMBER(SEARCH("no sometida",IFERROR(VLOOKUP($B65,'Base de datos'!$A$3:$K$24,10,FALSE),""))),ISNUMBER(SEARCH("no fiscal",IFERROR(VLOOKUP($B65,'Base de datos'!$A$3:$K$24,10,FALSE),"")))),OR(ISNUMBER(SEARCH("Hach",$B65)),ISNUMBER(SEARCH("Ketamina",$B65))),AND(IFERROR(VLOOKUP($B65,'Base de datos'!$A$3:$K$24,9,FALSE),"")&lt;&gt;"",IFERROR(VLOOKUP($B65,'Base de datos'!$A$3:$K$24,9,FALSE),"")&lt;&gt;0)),"",IFERROR((($E65*$C65/IFERROR(VLOOKUP($B65,'Base de datos'!$A$3:$K$24,3,FALSE),0))*1000)/IFERROR(VLOOKUP($B65,'Base de datos'!$A$3:$K$24,2,FALSE),0),""))</f>
        <v/>
      </c>
    </row>
    <row r="66" spans="1:15" x14ac:dyDescent="0.25">
      <c r="A66" s="4"/>
      <c r="B66" s="4"/>
      <c r="C66" s="5" t="str">
        <f>IFERROR(VLOOKUP($B66,'Base de datos'!$A$3:$K$24,3,FALSE),"")</f>
        <v/>
      </c>
      <c r="D66" s="4" t="str">
        <f t="shared" si="1"/>
        <v/>
      </c>
      <c r="E66" s="6"/>
      <c r="F66" s="7" t="str">
        <f>IF($B66="","",IF(OR(UPPER(IFERROR(VLOOKUP($B66,'Base de datos'!$A$3:$K$24,11,FALSE),""))="NO",ISNUMBER(SEARCH("no sometida",IFERROR(VLOOKUP($B66,'Base de datos'!$A$3:$K$24,10,FALSE),""))),ISNUMBER(SEARCH("no fiscal",IFERROR(VLOOKUP($B66,'Base de datos'!$A$3:$K$24,10,FALSE),"")))),"",IF(OR(OR(ISNUMBER(SEARCH("Hach",$B66)),ISNUMBER(SEARCH("Ketamina",$B66))),AND(IFERROR(VLOOKUP($B66,'Base de datos'!$A$3:$K$24,9,FALSE),"")&lt;&gt;"",IFERROR(VLOOKUP($B66,'Base de datos'!$A$3:$K$24,9,FALSE),"")&lt;&gt;0)),"",IFERROR($M66*VLOOKUP($B66,'Base de datos'!$A$3:$K$24,8,FALSE)/1000,""))))</f>
        <v/>
      </c>
      <c r="G66" s="7" t="str">
        <f>IF($B66="","",IF(OR(UPPER(IFERROR(VLOOKUP($B66,'Base de datos'!$A$3:$K$24,11,FALSE),""))="NO",ISNUMBER(SEARCH("no sometida",IFERROR(VLOOKUP($B66,'Base de datos'!$A$3:$K$24,10,FALSE),""))),ISNUMBER(SEARCH("no fiscal",IFERROR(VLOOKUP($B66,'Base de datos'!$A$3:$K$24,10,FALSE),"")))),"",IFERROR(IF(OR(ISNUMBER(SEARCH("Hach",$B66)),ISNUMBER(SEARCH("Ketamina",$B66))),IF(VLOOKUP($B66,'Base de datos'!$A$3:$K$24,6,FALSE)="","",$E66*VLOOKUP($B66,'Base de datos'!$A$3:$K$24,6,FALSE)),IF(AND(IFERROR(VLOOKUP($B66,'Base de datos'!$A$3:$K$24,9,FALSE),"")&lt;&gt;"",IFERROR(VLOOKUP($B66,'Base de datos'!$A$3:$K$24,9,FALSE),"")&lt;&gt;0),"",IF(VLOOKUP($B66,'Base de datos'!$A$3:$K$24,6,FALSE)="","",$N66*VLOOKUP($B66,'Base de datos'!$A$3:$K$24,6,FALSE)))),"")))</f>
        <v/>
      </c>
      <c r="H66" s="7" t="str">
        <f>IF($B66="","",IF(OR(UPPER(IFERROR(VLOOKUP($B66,'Base de datos'!$A$3:$K$24,11,FALSE),""))="NO",ISNUMBER(SEARCH("no sometida",IFERROR(VLOOKUP($B66,'Base de datos'!$A$3:$K$24,10,FALSE),""))),ISNUMBER(SEARCH("no fiscal",IFERROR(VLOOKUP($B66,'Base de datos'!$A$3:$K$24,10,FALSE),"")))),"",IF(OR(ISNUMBER(SEARCH("Hach",$B66)),ISNUMBER(SEARCH("Ketamina",$B66))),"",IF(AND(IFERROR(VLOOKUP($B66,'Base de datos'!$A$3:$K$24,9,FALSE),"")&lt;&gt;"",IFERROR(VLOOKUP($B66,'Base de datos'!$A$3:$K$24,9,FALSE),"")&lt;&gt;0),$E66*IFERROR(VLOOKUP($B66,'Base de datos'!$A$3:$K$24,9,FALSE),""),IFERROR($O66*VLOOKUP($B66,'Base de datos'!$A$3:$K$24,4,FALSE),"")))))</f>
        <v/>
      </c>
      <c r="I66" s="5" t="str">
        <f>IFERROR(VLOOKUP($B66,'Base de datos'!$A$3:$K$24,7,FALSE),"")</f>
        <v/>
      </c>
      <c r="J66" s="13" t="str">
        <f>IFERROR(VLOOKUP($B66,'Base de datos'!$A$3:$K$24,10,FALSE),"")</f>
        <v/>
      </c>
      <c r="K66" s="6"/>
      <c r="L66" s="4"/>
      <c r="M66" s="6" t="str">
        <f>IF(OR(OR(UPPER(IFERROR(VLOOKUP($B66,'Base de datos'!$A$3:$K$24,11,FALSE),""))="NO",ISNUMBER(SEARCH("no sometida",IFERROR(VLOOKUP($B66,'Base de datos'!$A$3:$K$24,10,FALSE),""))),ISNUMBER(SEARCH("no fiscal",IFERROR(VLOOKUP($B66,'Base de datos'!$A$3:$K$24,10,FALSE),"")))),OR(ISNUMBER(SEARCH("Hach",$B66)),ISNUMBER(SEARCH("Ketamina",$B66))),AND(IFERROR(VLOOKUP($B66,'Base de datos'!$A$3:$K$24,9,FALSE),"")&lt;&gt;"",IFERROR(VLOOKUP($B66,'Base de datos'!$A$3:$K$24,9,FALSE),"")&lt;&gt;0)),"",IFERROR($E66*$C66/$I66,""))</f>
        <v/>
      </c>
      <c r="N66" s="6" t="str">
        <f>IF(OR(OR(UPPER(IFERROR(VLOOKUP($B66,'Base de datos'!$A$3:$K$24,11,FALSE),""))="NO",ISNUMBER(SEARCH("no sometida",IFERROR(VLOOKUP($B66,'Base de datos'!$A$3:$K$24,10,FALSE),""))),ISNUMBER(SEARCH("no fiscal",IFERROR(VLOOKUP($B66,'Base de datos'!$A$3:$K$24,10,FALSE),"")))),OR(ISNUMBER(SEARCH("Hach",$B66)),ISNUMBER(SEARCH("Ketamina",$B66))),AND(IFERROR(VLOOKUP($B66,'Base de datos'!$A$3:$K$24,9,FALSE),"")&lt;&gt;"",IFERROR(VLOOKUP($B66,'Base de datos'!$A$3:$K$24,9,FALSE),"")&lt;&gt;0)),"",IFERROR($E66*$C66/IFERROR(VLOOKUP($B66,'Base de datos'!$A$3:$K$24,5,FALSE),0),""))</f>
        <v/>
      </c>
      <c r="O66" s="6" t="str">
        <f>IF(OR(OR(UPPER(IFERROR(VLOOKUP($B66,'Base de datos'!$A$3:$K$24,11,FALSE),""))="NO",ISNUMBER(SEARCH("no sometida",IFERROR(VLOOKUP($B66,'Base de datos'!$A$3:$K$24,10,FALSE),""))),ISNUMBER(SEARCH("no fiscal",IFERROR(VLOOKUP($B66,'Base de datos'!$A$3:$K$24,10,FALSE),"")))),OR(ISNUMBER(SEARCH("Hach",$B66)),ISNUMBER(SEARCH("Ketamina",$B66))),AND(IFERROR(VLOOKUP($B66,'Base de datos'!$A$3:$K$24,9,FALSE),"")&lt;&gt;"",IFERROR(VLOOKUP($B66,'Base de datos'!$A$3:$K$24,9,FALSE),"")&lt;&gt;0)),"",IFERROR((($E66*$C66/IFERROR(VLOOKUP($B66,'Base de datos'!$A$3:$K$24,3,FALSE),0))*1000)/IFERROR(VLOOKUP($B66,'Base de datos'!$A$3:$K$24,2,FALSE),0),""))</f>
        <v/>
      </c>
    </row>
    <row r="67" spans="1:15" x14ac:dyDescent="0.25">
      <c r="A67" s="4"/>
      <c r="B67" s="4"/>
      <c r="C67" s="5" t="str">
        <f>IFERROR(VLOOKUP($B67,'Base de datos'!$A$3:$K$24,3,FALSE),"")</f>
        <v/>
      </c>
      <c r="D67" s="4" t="str">
        <f t="shared" si="1"/>
        <v/>
      </c>
      <c r="E67" s="6"/>
      <c r="F67" s="7" t="str">
        <f>IF($B67="","",IF(OR(UPPER(IFERROR(VLOOKUP($B67,'Base de datos'!$A$3:$K$24,11,FALSE),""))="NO",ISNUMBER(SEARCH("no sometida",IFERROR(VLOOKUP($B67,'Base de datos'!$A$3:$K$24,10,FALSE),""))),ISNUMBER(SEARCH("no fiscal",IFERROR(VLOOKUP($B67,'Base de datos'!$A$3:$K$24,10,FALSE),"")))),"",IF(OR(OR(ISNUMBER(SEARCH("Hach",$B67)),ISNUMBER(SEARCH("Ketamina",$B67))),AND(IFERROR(VLOOKUP($B67,'Base de datos'!$A$3:$K$24,9,FALSE),"")&lt;&gt;"",IFERROR(VLOOKUP($B67,'Base de datos'!$A$3:$K$24,9,FALSE),"")&lt;&gt;0)),"",IFERROR($M67*VLOOKUP($B67,'Base de datos'!$A$3:$K$24,8,FALSE)/1000,""))))</f>
        <v/>
      </c>
      <c r="G67" s="7" t="str">
        <f>IF($B67="","",IF(OR(UPPER(IFERROR(VLOOKUP($B67,'Base de datos'!$A$3:$K$24,11,FALSE),""))="NO",ISNUMBER(SEARCH("no sometida",IFERROR(VLOOKUP($B67,'Base de datos'!$A$3:$K$24,10,FALSE),""))),ISNUMBER(SEARCH("no fiscal",IFERROR(VLOOKUP($B67,'Base de datos'!$A$3:$K$24,10,FALSE),"")))),"",IFERROR(IF(OR(ISNUMBER(SEARCH("Hach",$B67)),ISNUMBER(SEARCH("Ketamina",$B67))),IF(VLOOKUP($B67,'Base de datos'!$A$3:$K$24,6,FALSE)="","",$E67*VLOOKUP($B67,'Base de datos'!$A$3:$K$24,6,FALSE)),IF(AND(IFERROR(VLOOKUP($B67,'Base de datos'!$A$3:$K$24,9,FALSE),"")&lt;&gt;"",IFERROR(VLOOKUP($B67,'Base de datos'!$A$3:$K$24,9,FALSE),"")&lt;&gt;0),"",IF(VLOOKUP($B67,'Base de datos'!$A$3:$K$24,6,FALSE)="","",$N67*VLOOKUP($B67,'Base de datos'!$A$3:$K$24,6,FALSE)))),"")))</f>
        <v/>
      </c>
      <c r="H67" s="7" t="str">
        <f>IF($B67="","",IF(OR(UPPER(IFERROR(VLOOKUP($B67,'Base de datos'!$A$3:$K$24,11,FALSE),""))="NO",ISNUMBER(SEARCH("no sometida",IFERROR(VLOOKUP($B67,'Base de datos'!$A$3:$K$24,10,FALSE),""))),ISNUMBER(SEARCH("no fiscal",IFERROR(VLOOKUP($B67,'Base de datos'!$A$3:$K$24,10,FALSE),"")))),"",IF(OR(ISNUMBER(SEARCH("Hach",$B67)),ISNUMBER(SEARCH("Ketamina",$B67))),"",IF(AND(IFERROR(VLOOKUP($B67,'Base de datos'!$A$3:$K$24,9,FALSE),"")&lt;&gt;"",IFERROR(VLOOKUP($B67,'Base de datos'!$A$3:$K$24,9,FALSE),"")&lt;&gt;0),$E67*IFERROR(VLOOKUP($B67,'Base de datos'!$A$3:$K$24,9,FALSE),""),IFERROR($O67*VLOOKUP($B67,'Base de datos'!$A$3:$K$24,4,FALSE),"")))))</f>
        <v/>
      </c>
      <c r="I67" s="5" t="str">
        <f>IFERROR(VLOOKUP($B67,'Base de datos'!$A$3:$K$24,7,FALSE),"")</f>
        <v/>
      </c>
      <c r="J67" s="13" t="str">
        <f>IFERROR(VLOOKUP($B67,'Base de datos'!$A$3:$K$24,10,FALSE),"")</f>
        <v/>
      </c>
      <c r="K67" s="6"/>
      <c r="L67" s="4"/>
      <c r="M67" s="6" t="str">
        <f>IF(OR(OR(UPPER(IFERROR(VLOOKUP($B67,'Base de datos'!$A$3:$K$24,11,FALSE),""))="NO",ISNUMBER(SEARCH("no sometida",IFERROR(VLOOKUP($B67,'Base de datos'!$A$3:$K$24,10,FALSE),""))),ISNUMBER(SEARCH("no fiscal",IFERROR(VLOOKUP($B67,'Base de datos'!$A$3:$K$24,10,FALSE),"")))),OR(ISNUMBER(SEARCH("Hach",$B67)),ISNUMBER(SEARCH("Ketamina",$B67))),AND(IFERROR(VLOOKUP($B67,'Base de datos'!$A$3:$K$24,9,FALSE),"")&lt;&gt;"",IFERROR(VLOOKUP($B67,'Base de datos'!$A$3:$K$24,9,FALSE),"")&lt;&gt;0)),"",IFERROR($E67*$C67/$I67,""))</f>
        <v/>
      </c>
      <c r="N67" s="6" t="str">
        <f>IF(OR(OR(UPPER(IFERROR(VLOOKUP($B67,'Base de datos'!$A$3:$K$24,11,FALSE),""))="NO",ISNUMBER(SEARCH("no sometida",IFERROR(VLOOKUP($B67,'Base de datos'!$A$3:$K$24,10,FALSE),""))),ISNUMBER(SEARCH("no fiscal",IFERROR(VLOOKUP($B67,'Base de datos'!$A$3:$K$24,10,FALSE),"")))),OR(ISNUMBER(SEARCH("Hach",$B67)),ISNUMBER(SEARCH("Ketamina",$B67))),AND(IFERROR(VLOOKUP($B67,'Base de datos'!$A$3:$K$24,9,FALSE),"")&lt;&gt;"",IFERROR(VLOOKUP($B67,'Base de datos'!$A$3:$K$24,9,FALSE),"")&lt;&gt;0)),"",IFERROR($E67*$C67/IFERROR(VLOOKUP($B67,'Base de datos'!$A$3:$K$24,5,FALSE),0),""))</f>
        <v/>
      </c>
      <c r="O67" s="6" t="str">
        <f>IF(OR(OR(UPPER(IFERROR(VLOOKUP($B67,'Base de datos'!$A$3:$K$24,11,FALSE),""))="NO",ISNUMBER(SEARCH("no sometida",IFERROR(VLOOKUP($B67,'Base de datos'!$A$3:$K$24,10,FALSE),""))),ISNUMBER(SEARCH("no fiscal",IFERROR(VLOOKUP($B67,'Base de datos'!$A$3:$K$24,10,FALSE),"")))),OR(ISNUMBER(SEARCH("Hach",$B67)),ISNUMBER(SEARCH("Ketamina",$B67))),AND(IFERROR(VLOOKUP($B67,'Base de datos'!$A$3:$K$24,9,FALSE),"")&lt;&gt;"",IFERROR(VLOOKUP($B67,'Base de datos'!$A$3:$K$24,9,FALSE),"")&lt;&gt;0)),"",IFERROR((($E67*$C67/IFERROR(VLOOKUP($B67,'Base de datos'!$A$3:$K$24,3,FALSE),0))*1000)/IFERROR(VLOOKUP($B67,'Base de datos'!$A$3:$K$24,2,FALSE),0),""))</f>
        <v/>
      </c>
    </row>
    <row r="68" spans="1:15" x14ac:dyDescent="0.25">
      <c r="A68" s="4"/>
      <c r="B68" s="4"/>
      <c r="C68" s="5" t="str">
        <f>IFERROR(VLOOKUP($B68,'Base de datos'!$A$3:$K$24,3,FALSE),"")</f>
        <v/>
      </c>
      <c r="D68" s="4" t="str">
        <f t="shared" si="1"/>
        <v/>
      </c>
      <c r="E68" s="6"/>
      <c r="F68" s="7" t="str">
        <f>IF($B68="","",IF(OR(UPPER(IFERROR(VLOOKUP($B68,'Base de datos'!$A$3:$K$24,11,FALSE),""))="NO",ISNUMBER(SEARCH("no sometida",IFERROR(VLOOKUP($B68,'Base de datos'!$A$3:$K$24,10,FALSE),""))),ISNUMBER(SEARCH("no fiscal",IFERROR(VLOOKUP($B68,'Base de datos'!$A$3:$K$24,10,FALSE),"")))),"",IF(OR(OR(ISNUMBER(SEARCH("Hach",$B68)),ISNUMBER(SEARCH("Ketamina",$B68))),AND(IFERROR(VLOOKUP($B68,'Base de datos'!$A$3:$K$24,9,FALSE),"")&lt;&gt;"",IFERROR(VLOOKUP($B68,'Base de datos'!$A$3:$K$24,9,FALSE),"")&lt;&gt;0)),"",IFERROR($M68*VLOOKUP($B68,'Base de datos'!$A$3:$K$24,8,FALSE)/1000,""))))</f>
        <v/>
      </c>
      <c r="G68" s="7" t="str">
        <f>IF($B68="","",IF(OR(UPPER(IFERROR(VLOOKUP($B68,'Base de datos'!$A$3:$K$24,11,FALSE),""))="NO",ISNUMBER(SEARCH("no sometida",IFERROR(VLOOKUP($B68,'Base de datos'!$A$3:$K$24,10,FALSE),""))),ISNUMBER(SEARCH("no fiscal",IFERROR(VLOOKUP($B68,'Base de datos'!$A$3:$K$24,10,FALSE),"")))),"",IFERROR(IF(OR(ISNUMBER(SEARCH("Hach",$B68)),ISNUMBER(SEARCH("Ketamina",$B68))),IF(VLOOKUP($B68,'Base de datos'!$A$3:$K$24,6,FALSE)="","",$E68*VLOOKUP($B68,'Base de datos'!$A$3:$K$24,6,FALSE)),IF(AND(IFERROR(VLOOKUP($B68,'Base de datos'!$A$3:$K$24,9,FALSE),"")&lt;&gt;"",IFERROR(VLOOKUP($B68,'Base de datos'!$A$3:$K$24,9,FALSE),"")&lt;&gt;0),"",IF(VLOOKUP($B68,'Base de datos'!$A$3:$K$24,6,FALSE)="","",$N68*VLOOKUP($B68,'Base de datos'!$A$3:$K$24,6,FALSE)))),"")))</f>
        <v/>
      </c>
      <c r="H68" s="7" t="str">
        <f>IF($B68="","",IF(OR(UPPER(IFERROR(VLOOKUP($B68,'Base de datos'!$A$3:$K$24,11,FALSE),""))="NO",ISNUMBER(SEARCH("no sometida",IFERROR(VLOOKUP($B68,'Base de datos'!$A$3:$K$24,10,FALSE),""))),ISNUMBER(SEARCH("no fiscal",IFERROR(VLOOKUP($B68,'Base de datos'!$A$3:$K$24,10,FALSE),"")))),"",IF(OR(ISNUMBER(SEARCH("Hach",$B68)),ISNUMBER(SEARCH("Ketamina",$B68))),"",IF(AND(IFERROR(VLOOKUP($B68,'Base de datos'!$A$3:$K$24,9,FALSE),"")&lt;&gt;"",IFERROR(VLOOKUP($B68,'Base de datos'!$A$3:$K$24,9,FALSE),"")&lt;&gt;0),$E68*IFERROR(VLOOKUP($B68,'Base de datos'!$A$3:$K$24,9,FALSE),""),IFERROR($O68*VLOOKUP($B68,'Base de datos'!$A$3:$K$24,4,FALSE),"")))))</f>
        <v/>
      </c>
      <c r="I68" s="5" t="str">
        <f>IFERROR(VLOOKUP($B68,'Base de datos'!$A$3:$K$24,7,FALSE),"")</f>
        <v/>
      </c>
      <c r="J68" s="13" t="str">
        <f>IFERROR(VLOOKUP($B68,'Base de datos'!$A$3:$K$24,10,FALSE),"")</f>
        <v/>
      </c>
      <c r="K68" s="6"/>
      <c r="L68" s="4"/>
      <c r="M68" s="6" t="str">
        <f>IF(OR(OR(UPPER(IFERROR(VLOOKUP($B68,'Base de datos'!$A$3:$K$24,11,FALSE),""))="NO",ISNUMBER(SEARCH("no sometida",IFERROR(VLOOKUP($B68,'Base de datos'!$A$3:$K$24,10,FALSE),""))),ISNUMBER(SEARCH("no fiscal",IFERROR(VLOOKUP($B68,'Base de datos'!$A$3:$K$24,10,FALSE),"")))),OR(ISNUMBER(SEARCH("Hach",$B68)),ISNUMBER(SEARCH("Ketamina",$B68))),AND(IFERROR(VLOOKUP($B68,'Base de datos'!$A$3:$K$24,9,FALSE),"")&lt;&gt;"",IFERROR(VLOOKUP($B68,'Base de datos'!$A$3:$K$24,9,FALSE),"")&lt;&gt;0)),"",IFERROR($E68*$C68/$I68,""))</f>
        <v/>
      </c>
      <c r="N68" s="6" t="str">
        <f>IF(OR(OR(UPPER(IFERROR(VLOOKUP($B68,'Base de datos'!$A$3:$K$24,11,FALSE),""))="NO",ISNUMBER(SEARCH("no sometida",IFERROR(VLOOKUP($B68,'Base de datos'!$A$3:$K$24,10,FALSE),""))),ISNUMBER(SEARCH("no fiscal",IFERROR(VLOOKUP($B68,'Base de datos'!$A$3:$K$24,10,FALSE),"")))),OR(ISNUMBER(SEARCH("Hach",$B68)),ISNUMBER(SEARCH("Ketamina",$B68))),AND(IFERROR(VLOOKUP($B68,'Base de datos'!$A$3:$K$24,9,FALSE),"")&lt;&gt;"",IFERROR(VLOOKUP($B68,'Base de datos'!$A$3:$K$24,9,FALSE),"")&lt;&gt;0)),"",IFERROR($E68*$C68/IFERROR(VLOOKUP($B68,'Base de datos'!$A$3:$K$24,5,FALSE),0),""))</f>
        <v/>
      </c>
      <c r="O68" s="6" t="str">
        <f>IF(OR(OR(UPPER(IFERROR(VLOOKUP($B68,'Base de datos'!$A$3:$K$24,11,FALSE),""))="NO",ISNUMBER(SEARCH("no sometida",IFERROR(VLOOKUP($B68,'Base de datos'!$A$3:$K$24,10,FALSE),""))),ISNUMBER(SEARCH("no fiscal",IFERROR(VLOOKUP($B68,'Base de datos'!$A$3:$K$24,10,FALSE),"")))),OR(ISNUMBER(SEARCH("Hach",$B68)),ISNUMBER(SEARCH("Ketamina",$B68))),AND(IFERROR(VLOOKUP($B68,'Base de datos'!$A$3:$K$24,9,FALSE),"")&lt;&gt;"",IFERROR(VLOOKUP($B68,'Base de datos'!$A$3:$K$24,9,FALSE),"")&lt;&gt;0)),"",IFERROR((($E68*$C68/IFERROR(VLOOKUP($B68,'Base de datos'!$A$3:$K$24,3,FALSE),0))*1000)/IFERROR(VLOOKUP($B68,'Base de datos'!$A$3:$K$24,2,FALSE),0),""))</f>
        <v/>
      </c>
    </row>
    <row r="69" spans="1:15" x14ac:dyDescent="0.25">
      <c r="A69" s="4"/>
      <c r="B69" s="4"/>
      <c r="C69" s="5" t="str">
        <f>IFERROR(VLOOKUP($B69,'Base de datos'!$A$3:$K$24,3,FALSE),"")</f>
        <v/>
      </c>
      <c r="D69" s="4" t="str">
        <f t="shared" ref="D69:D100" si="2">IF($B69="","",$B69)</f>
        <v/>
      </c>
      <c r="E69" s="6"/>
      <c r="F69" s="7" t="str">
        <f>IF($B69="","",IF(OR(UPPER(IFERROR(VLOOKUP($B69,'Base de datos'!$A$3:$K$24,11,FALSE),""))="NO",ISNUMBER(SEARCH("no sometida",IFERROR(VLOOKUP($B69,'Base de datos'!$A$3:$K$24,10,FALSE),""))),ISNUMBER(SEARCH("no fiscal",IFERROR(VLOOKUP($B69,'Base de datos'!$A$3:$K$24,10,FALSE),"")))),"",IF(OR(OR(ISNUMBER(SEARCH("Hach",$B69)),ISNUMBER(SEARCH("Ketamina",$B69))),AND(IFERROR(VLOOKUP($B69,'Base de datos'!$A$3:$K$24,9,FALSE),"")&lt;&gt;"",IFERROR(VLOOKUP($B69,'Base de datos'!$A$3:$K$24,9,FALSE),"")&lt;&gt;0)),"",IFERROR($M69*VLOOKUP($B69,'Base de datos'!$A$3:$K$24,8,FALSE)/1000,""))))</f>
        <v/>
      </c>
      <c r="G69" s="7" t="str">
        <f>IF($B69="","",IF(OR(UPPER(IFERROR(VLOOKUP($B69,'Base de datos'!$A$3:$K$24,11,FALSE),""))="NO",ISNUMBER(SEARCH("no sometida",IFERROR(VLOOKUP($B69,'Base de datos'!$A$3:$K$24,10,FALSE),""))),ISNUMBER(SEARCH("no fiscal",IFERROR(VLOOKUP($B69,'Base de datos'!$A$3:$K$24,10,FALSE),"")))),"",IFERROR(IF(OR(ISNUMBER(SEARCH("Hach",$B69)),ISNUMBER(SEARCH("Ketamina",$B69))),IF(VLOOKUP($B69,'Base de datos'!$A$3:$K$24,6,FALSE)="","",$E69*VLOOKUP($B69,'Base de datos'!$A$3:$K$24,6,FALSE)),IF(AND(IFERROR(VLOOKUP($B69,'Base de datos'!$A$3:$K$24,9,FALSE),"")&lt;&gt;"",IFERROR(VLOOKUP($B69,'Base de datos'!$A$3:$K$24,9,FALSE),"")&lt;&gt;0),"",IF(VLOOKUP($B69,'Base de datos'!$A$3:$K$24,6,FALSE)="","",$N69*VLOOKUP($B69,'Base de datos'!$A$3:$K$24,6,FALSE)))),"")))</f>
        <v/>
      </c>
      <c r="H69" s="7" t="str">
        <f>IF($B69="","",IF(OR(UPPER(IFERROR(VLOOKUP($B69,'Base de datos'!$A$3:$K$24,11,FALSE),""))="NO",ISNUMBER(SEARCH("no sometida",IFERROR(VLOOKUP($B69,'Base de datos'!$A$3:$K$24,10,FALSE),""))),ISNUMBER(SEARCH("no fiscal",IFERROR(VLOOKUP($B69,'Base de datos'!$A$3:$K$24,10,FALSE),"")))),"",IF(OR(ISNUMBER(SEARCH("Hach",$B69)),ISNUMBER(SEARCH("Ketamina",$B69))),"",IF(AND(IFERROR(VLOOKUP($B69,'Base de datos'!$A$3:$K$24,9,FALSE),"")&lt;&gt;"",IFERROR(VLOOKUP($B69,'Base de datos'!$A$3:$K$24,9,FALSE),"")&lt;&gt;0),$E69*IFERROR(VLOOKUP($B69,'Base de datos'!$A$3:$K$24,9,FALSE),""),IFERROR($O69*VLOOKUP($B69,'Base de datos'!$A$3:$K$24,4,FALSE),"")))))</f>
        <v/>
      </c>
      <c r="I69" s="5" t="str">
        <f>IFERROR(VLOOKUP($B69,'Base de datos'!$A$3:$K$24,7,FALSE),"")</f>
        <v/>
      </c>
      <c r="J69" s="13" t="str">
        <f>IFERROR(VLOOKUP($B69,'Base de datos'!$A$3:$K$24,10,FALSE),"")</f>
        <v/>
      </c>
      <c r="K69" s="6"/>
      <c r="L69" s="4"/>
      <c r="M69" s="6" t="str">
        <f>IF(OR(OR(UPPER(IFERROR(VLOOKUP($B69,'Base de datos'!$A$3:$K$24,11,FALSE),""))="NO",ISNUMBER(SEARCH("no sometida",IFERROR(VLOOKUP($B69,'Base de datos'!$A$3:$K$24,10,FALSE),""))),ISNUMBER(SEARCH("no fiscal",IFERROR(VLOOKUP($B69,'Base de datos'!$A$3:$K$24,10,FALSE),"")))),OR(ISNUMBER(SEARCH("Hach",$B69)),ISNUMBER(SEARCH("Ketamina",$B69))),AND(IFERROR(VLOOKUP($B69,'Base de datos'!$A$3:$K$24,9,FALSE),"")&lt;&gt;"",IFERROR(VLOOKUP($B69,'Base de datos'!$A$3:$K$24,9,FALSE),"")&lt;&gt;0)),"",IFERROR($E69*$C69/$I69,""))</f>
        <v/>
      </c>
      <c r="N69" s="6" t="str">
        <f>IF(OR(OR(UPPER(IFERROR(VLOOKUP($B69,'Base de datos'!$A$3:$K$24,11,FALSE),""))="NO",ISNUMBER(SEARCH("no sometida",IFERROR(VLOOKUP($B69,'Base de datos'!$A$3:$K$24,10,FALSE),""))),ISNUMBER(SEARCH("no fiscal",IFERROR(VLOOKUP($B69,'Base de datos'!$A$3:$K$24,10,FALSE),"")))),OR(ISNUMBER(SEARCH("Hach",$B69)),ISNUMBER(SEARCH("Ketamina",$B69))),AND(IFERROR(VLOOKUP($B69,'Base de datos'!$A$3:$K$24,9,FALSE),"")&lt;&gt;"",IFERROR(VLOOKUP($B69,'Base de datos'!$A$3:$K$24,9,FALSE),"")&lt;&gt;0)),"",IFERROR($E69*$C69/IFERROR(VLOOKUP($B69,'Base de datos'!$A$3:$K$24,5,FALSE),0),""))</f>
        <v/>
      </c>
      <c r="O69" s="6" t="str">
        <f>IF(OR(OR(UPPER(IFERROR(VLOOKUP($B69,'Base de datos'!$A$3:$K$24,11,FALSE),""))="NO",ISNUMBER(SEARCH("no sometida",IFERROR(VLOOKUP($B69,'Base de datos'!$A$3:$K$24,10,FALSE),""))),ISNUMBER(SEARCH("no fiscal",IFERROR(VLOOKUP($B69,'Base de datos'!$A$3:$K$24,10,FALSE),"")))),OR(ISNUMBER(SEARCH("Hach",$B69)),ISNUMBER(SEARCH("Ketamina",$B69))),AND(IFERROR(VLOOKUP($B69,'Base de datos'!$A$3:$K$24,9,FALSE),"")&lt;&gt;"",IFERROR(VLOOKUP($B69,'Base de datos'!$A$3:$K$24,9,FALSE),"")&lt;&gt;0)),"",IFERROR((($E69*$C69/IFERROR(VLOOKUP($B69,'Base de datos'!$A$3:$K$24,3,FALSE),0))*1000)/IFERROR(VLOOKUP($B69,'Base de datos'!$A$3:$K$24,2,FALSE),0),""))</f>
        <v/>
      </c>
    </row>
    <row r="70" spans="1:15" x14ac:dyDescent="0.25">
      <c r="A70" s="4"/>
      <c r="B70" s="4"/>
      <c r="C70" s="5" t="str">
        <f>IFERROR(VLOOKUP($B70,'Base de datos'!$A$3:$K$24,3,FALSE),"")</f>
        <v/>
      </c>
      <c r="D70" s="4" t="str">
        <f t="shared" si="2"/>
        <v/>
      </c>
      <c r="E70" s="6"/>
      <c r="F70" s="7" t="str">
        <f>IF($B70="","",IF(OR(UPPER(IFERROR(VLOOKUP($B70,'Base de datos'!$A$3:$K$24,11,FALSE),""))="NO",ISNUMBER(SEARCH("no sometida",IFERROR(VLOOKUP($B70,'Base de datos'!$A$3:$K$24,10,FALSE),""))),ISNUMBER(SEARCH("no fiscal",IFERROR(VLOOKUP($B70,'Base de datos'!$A$3:$K$24,10,FALSE),"")))),"",IF(OR(OR(ISNUMBER(SEARCH("Hach",$B70)),ISNUMBER(SEARCH("Ketamina",$B70))),AND(IFERROR(VLOOKUP($B70,'Base de datos'!$A$3:$K$24,9,FALSE),"")&lt;&gt;"",IFERROR(VLOOKUP($B70,'Base de datos'!$A$3:$K$24,9,FALSE),"")&lt;&gt;0)),"",IFERROR($M70*VLOOKUP($B70,'Base de datos'!$A$3:$K$24,8,FALSE)/1000,""))))</f>
        <v/>
      </c>
      <c r="G70" s="7" t="str">
        <f>IF($B70="","",IF(OR(UPPER(IFERROR(VLOOKUP($B70,'Base de datos'!$A$3:$K$24,11,FALSE),""))="NO",ISNUMBER(SEARCH("no sometida",IFERROR(VLOOKUP($B70,'Base de datos'!$A$3:$K$24,10,FALSE),""))),ISNUMBER(SEARCH("no fiscal",IFERROR(VLOOKUP($B70,'Base de datos'!$A$3:$K$24,10,FALSE),"")))),"",IFERROR(IF(OR(ISNUMBER(SEARCH("Hach",$B70)),ISNUMBER(SEARCH("Ketamina",$B70))),IF(VLOOKUP($B70,'Base de datos'!$A$3:$K$24,6,FALSE)="","",$E70*VLOOKUP($B70,'Base de datos'!$A$3:$K$24,6,FALSE)),IF(AND(IFERROR(VLOOKUP($B70,'Base de datos'!$A$3:$K$24,9,FALSE),"")&lt;&gt;"",IFERROR(VLOOKUP($B70,'Base de datos'!$A$3:$K$24,9,FALSE),"")&lt;&gt;0),"",IF(VLOOKUP($B70,'Base de datos'!$A$3:$K$24,6,FALSE)="","",$N70*VLOOKUP($B70,'Base de datos'!$A$3:$K$24,6,FALSE)))),"")))</f>
        <v/>
      </c>
      <c r="H70" s="7" t="str">
        <f>IF($B70="","",IF(OR(UPPER(IFERROR(VLOOKUP($B70,'Base de datos'!$A$3:$K$24,11,FALSE),""))="NO",ISNUMBER(SEARCH("no sometida",IFERROR(VLOOKUP($B70,'Base de datos'!$A$3:$K$24,10,FALSE),""))),ISNUMBER(SEARCH("no fiscal",IFERROR(VLOOKUP($B70,'Base de datos'!$A$3:$K$24,10,FALSE),"")))),"",IF(OR(ISNUMBER(SEARCH("Hach",$B70)),ISNUMBER(SEARCH("Ketamina",$B70))),"",IF(AND(IFERROR(VLOOKUP($B70,'Base de datos'!$A$3:$K$24,9,FALSE),"")&lt;&gt;"",IFERROR(VLOOKUP($B70,'Base de datos'!$A$3:$K$24,9,FALSE),"")&lt;&gt;0),$E70*IFERROR(VLOOKUP($B70,'Base de datos'!$A$3:$K$24,9,FALSE),""),IFERROR($O70*VLOOKUP($B70,'Base de datos'!$A$3:$K$24,4,FALSE),"")))))</f>
        <v/>
      </c>
      <c r="I70" s="5" t="str">
        <f>IFERROR(VLOOKUP($B70,'Base de datos'!$A$3:$K$24,7,FALSE),"")</f>
        <v/>
      </c>
      <c r="J70" s="13" t="str">
        <f>IFERROR(VLOOKUP($B70,'Base de datos'!$A$3:$K$24,10,FALSE),"")</f>
        <v/>
      </c>
      <c r="K70" s="6"/>
      <c r="L70" s="4"/>
      <c r="M70" s="6" t="str">
        <f>IF(OR(OR(UPPER(IFERROR(VLOOKUP($B70,'Base de datos'!$A$3:$K$24,11,FALSE),""))="NO",ISNUMBER(SEARCH("no sometida",IFERROR(VLOOKUP($B70,'Base de datos'!$A$3:$K$24,10,FALSE),""))),ISNUMBER(SEARCH("no fiscal",IFERROR(VLOOKUP($B70,'Base de datos'!$A$3:$K$24,10,FALSE),"")))),OR(ISNUMBER(SEARCH("Hach",$B70)),ISNUMBER(SEARCH("Ketamina",$B70))),AND(IFERROR(VLOOKUP($B70,'Base de datos'!$A$3:$K$24,9,FALSE),"")&lt;&gt;"",IFERROR(VLOOKUP($B70,'Base de datos'!$A$3:$K$24,9,FALSE),"")&lt;&gt;0)),"",IFERROR($E70*$C70/$I70,""))</f>
        <v/>
      </c>
      <c r="N70" s="6" t="str">
        <f>IF(OR(OR(UPPER(IFERROR(VLOOKUP($B70,'Base de datos'!$A$3:$K$24,11,FALSE),""))="NO",ISNUMBER(SEARCH("no sometida",IFERROR(VLOOKUP($B70,'Base de datos'!$A$3:$K$24,10,FALSE),""))),ISNUMBER(SEARCH("no fiscal",IFERROR(VLOOKUP($B70,'Base de datos'!$A$3:$K$24,10,FALSE),"")))),OR(ISNUMBER(SEARCH("Hach",$B70)),ISNUMBER(SEARCH("Ketamina",$B70))),AND(IFERROR(VLOOKUP($B70,'Base de datos'!$A$3:$K$24,9,FALSE),"")&lt;&gt;"",IFERROR(VLOOKUP($B70,'Base de datos'!$A$3:$K$24,9,FALSE),"")&lt;&gt;0)),"",IFERROR($E70*$C70/IFERROR(VLOOKUP($B70,'Base de datos'!$A$3:$K$24,5,FALSE),0),""))</f>
        <v/>
      </c>
      <c r="O70" s="6" t="str">
        <f>IF(OR(OR(UPPER(IFERROR(VLOOKUP($B70,'Base de datos'!$A$3:$K$24,11,FALSE),""))="NO",ISNUMBER(SEARCH("no sometida",IFERROR(VLOOKUP($B70,'Base de datos'!$A$3:$K$24,10,FALSE),""))),ISNUMBER(SEARCH("no fiscal",IFERROR(VLOOKUP($B70,'Base de datos'!$A$3:$K$24,10,FALSE),"")))),OR(ISNUMBER(SEARCH("Hach",$B70)),ISNUMBER(SEARCH("Ketamina",$B70))),AND(IFERROR(VLOOKUP($B70,'Base de datos'!$A$3:$K$24,9,FALSE),"")&lt;&gt;"",IFERROR(VLOOKUP($B70,'Base de datos'!$A$3:$K$24,9,FALSE),"")&lt;&gt;0)),"",IFERROR((($E70*$C70/IFERROR(VLOOKUP($B70,'Base de datos'!$A$3:$K$24,3,FALSE),0))*1000)/IFERROR(VLOOKUP($B70,'Base de datos'!$A$3:$K$24,2,FALSE),0),""))</f>
        <v/>
      </c>
    </row>
    <row r="71" spans="1:15" x14ac:dyDescent="0.25">
      <c r="A71" s="4"/>
      <c r="B71" s="4"/>
      <c r="C71" s="5" t="str">
        <f>IFERROR(VLOOKUP($B71,'Base de datos'!$A$3:$K$24,3,FALSE),"")</f>
        <v/>
      </c>
      <c r="D71" s="4" t="str">
        <f t="shared" si="2"/>
        <v/>
      </c>
      <c r="E71" s="6"/>
      <c r="F71" s="7" t="str">
        <f>IF($B71="","",IF(OR(UPPER(IFERROR(VLOOKUP($B71,'Base de datos'!$A$3:$K$24,11,FALSE),""))="NO",ISNUMBER(SEARCH("no sometida",IFERROR(VLOOKUP($B71,'Base de datos'!$A$3:$K$24,10,FALSE),""))),ISNUMBER(SEARCH("no fiscal",IFERROR(VLOOKUP($B71,'Base de datos'!$A$3:$K$24,10,FALSE),"")))),"",IF(OR(OR(ISNUMBER(SEARCH("Hach",$B71)),ISNUMBER(SEARCH("Ketamina",$B71))),AND(IFERROR(VLOOKUP($B71,'Base de datos'!$A$3:$K$24,9,FALSE),"")&lt;&gt;"",IFERROR(VLOOKUP($B71,'Base de datos'!$A$3:$K$24,9,FALSE),"")&lt;&gt;0)),"",IFERROR($M71*VLOOKUP($B71,'Base de datos'!$A$3:$K$24,8,FALSE)/1000,""))))</f>
        <v/>
      </c>
      <c r="G71" s="7" t="str">
        <f>IF($B71="","",IF(OR(UPPER(IFERROR(VLOOKUP($B71,'Base de datos'!$A$3:$K$24,11,FALSE),""))="NO",ISNUMBER(SEARCH("no sometida",IFERROR(VLOOKUP($B71,'Base de datos'!$A$3:$K$24,10,FALSE),""))),ISNUMBER(SEARCH("no fiscal",IFERROR(VLOOKUP($B71,'Base de datos'!$A$3:$K$24,10,FALSE),"")))),"",IFERROR(IF(OR(ISNUMBER(SEARCH("Hach",$B71)),ISNUMBER(SEARCH("Ketamina",$B71))),IF(VLOOKUP($B71,'Base de datos'!$A$3:$K$24,6,FALSE)="","",$E71*VLOOKUP($B71,'Base de datos'!$A$3:$K$24,6,FALSE)),IF(AND(IFERROR(VLOOKUP($B71,'Base de datos'!$A$3:$K$24,9,FALSE),"")&lt;&gt;"",IFERROR(VLOOKUP($B71,'Base de datos'!$A$3:$K$24,9,FALSE),"")&lt;&gt;0),"",IF(VLOOKUP($B71,'Base de datos'!$A$3:$K$24,6,FALSE)="","",$N71*VLOOKUP($B71,'Base de datos'!$A$3:$K$24,6,FALSE)))),"")))</f>
        <v/>
      </c>
      <c r="H71" s="7" t="str">
        <f>IF($B71="","",IF(OR(UPPER(IFERROR(VLOOKUP($B71,'Base de datos'!$A$3:$K$24,11,FALSE),""))="NO",ISNUMBER(SEARCH("no sometida",IFERROR(VLOOKUP($B71,'Base de datos'!$A$3:$K$24,10,FALSE),""))),ISNUMBER(SEARCH("no fiscal",IFERROR(VLOOKUP($B71,'Base de datos'!$A$3:$K$24,10,FALSE),"")))),"",IF(OR(ISNUMBER(SEARCH("Hach",$B71)),ISNUMBER(SEARCH("Ketamina",$B71))),"",IF(AND(IFERROR(VLOOKUP($B71,'Base de datos'!$A$3:$K$24,9,FALSE),"")&lt;&gt;"",IFERROR(VLOOKUP($B71,'Base de datos'!$A$3:$K$24,9,FALSE),"")&lt;&gt;0),$E71*IFERROR(VLOOKUP($B71,'Base de datos'!$A$3:$K$24,9,FALSE),""),IFERROR($O71*VLOOKUP($B71,'Base de datos'!$A$3:$K$24,4,FALSE),"")))))</f>
        <v/>
      </c>
      <c r="I71" s="5" t="str">
        <f>IFERROR(VLOOKUP($B71,'Base de datos'!$A$3:$K$24,7,FALSE),"")</f>
        <v/>
      </c>
      <c r="J71" s="13" t="str">
        <f>IFERROR(VLOOKUP($B71,'Base de datos'!$A$3:$K$24,10,FALSE),"")</f>
        <v/>
      </c>
      <c r="K71" s="6"/>
      <c r="L71" s="4"/>
      <c r="M71" s="6" t="str">
        <f>IF(OR(OR(UPPER(IFERROR(VLOOKUP($B71,'Base de datos'!$A$3:$K$24,11,FALSE),""))="NO",ISNUMBER(SEARCH("no sometida",IFERROR(VLOOKUP($B71,'Base de datos'!$A$3:$K$24,10,FALSE),""))),ISNUMBER(SEARCH("no fiscal",IFERROR(VLOOKUP($B71,'Base de datos'!$A$3:$K$24,10,FALSE),"")))),OR(ISNUMBER(SEARCH("Hach",$B71)),ISNUMBER(SEARCH("Ketamina",$B71))),AND(IFERROR(VLOOKUP($B71,'Base de datos'!$A$3:$K$24,9,FALSE),"")&lt;&gt;"",IFERROR(VLOOKUP($B71,'Base de datos'!$A$3:$K$24,9,FALSE),"")&lt;&gt;0)),"",IFERROR($E71*$C71/$I71,""))</f>
        <v/>
      </c>
      <c r="N71" s="6" t="str">
        <f>IF(OR(OR(UPPER(IFERROR(VLOOKUP($B71,'Base de datos'!$A$3:$K$24,11,FALSE),""))="NO",ISNUMBER(SEARCH("no sometida",IFERROR(VLOOKUP($B71,'Base de datos'!$A$3:$K$24,10,FALSE),""))),ISNUMBER(SEARCH("no fiscal",IFERROR(VLOOKUP($B71,'Base de datos'!$A$3:$K$24,10,FALSE),"")))),OR(ISNUMBER(SEARCH("Hach",$B71)),ISNUMBER(SEARCH("Ketamina",$B71))),AND(IFERROR(VLOOKUP($B71,'Base de datos'!$A$3:$K$24,9,FALSE),"")&lt;&gt;"",IFERROR(VLOOKUP($B71,'Base de datos'!$A$3:$K$24,9,FALSE),"")&lt;&gt;0)),"",IFERROR($E71*$C71/IFERROR(VLOOKUP($B71,'Base de datos'!$A$3:$K$24,5,FALSE),0),""))</f>
        <v/>
      </c>
      <c r="O71" s="6" t="str">
        <f>IF(OR(OR(UPPER(IFERROR(VLOOKUP($B71,'Base de datos'!$A$3:$K$24,11,FALSE),""))="NO",ISNUMBER(SEARCH("no sometida",IFERROR(VLOOKUP($B71,'Base de datos'!$A$3:$K$24,10,FALSE),""))),ISNUMBER(SEARCH("no fiscal",IFERROR(VLOOKUP($B71,'Base de datos'!$A$3:$K$24,10,FALSE),"")))),OR(ISNUMBER(SEARCH("Hach",$B71)),ISNUMBER(SEARCH("Ketamina",$B71))),AND(IFERROR(VLOOKUP($B71,'Base de datos'!$A$3:$K$24,9,FALSE),"")&lt;&gt;"",IFERROR(VLOOKUP($B71,'Base de datos'!$A$3:$K$24,9,FALSE),"")&lt;&gt;0)),"",IFERROR((($E71*$C71/IFERROR(VLOOKUP($B71,'Base de datos'!$A$3:$K$24,3,FALSE),0))*1000)/IFERROR(VLOOKUP($B71,'Base de datos'!$A$3:$K$24,2,FALSE),0),""))</f>
        <v/>
      </c>
    </row>
    <row r="72" spans="1:15" x14ac:dyDescent="0.25">
      <c r="A72" s="4"/>
      <c r="B72" s="4"/>
      <c r="C72" s="5" t="str">
        <f>IFERROR(VLOOKUP($B72,'Base de datos'!$A$3:$K$24,3,FALSE),"")</f>
        <v/>
      </c>
      <c r="D72" s="4" t="str">
        <f t="shared" si="2"/>
        <v/>
      </c>
      <c r="E72" s="6"/>
      <c r="F72" s="7" t="str">
        <f>IF($B72="","",IF(OR(UPPER(IFERROR(VLOOKUP($B72,'Base de datos'!$A$3:$K$24,11,FALSE),""))="NO",ISNUMBER(SEARCH("no sometida",IFERROR(VLOOKUP($B72,'Base de datos'!$A$3:$K$24,10,FALSE),""))),ISNUMBER(SEARCH("no fiscal",IFERROR(VLOOKUP($B72,'Base de datos'!$A$3:$K$24,10,FALSE),"")))),"",IF(OR(OR(ISNUMBER(SEARCH("Hach",$B72)),ISNUMBER(SEARCH("Ketamina",$B72))),AND(IFERROR(VLOOKUP($B72,'Base de datos'!$A$3:$K$24,9,FALSE),"")&lt;&gt;"",IFERROR(VLOOKUP($B72,'Base de datos'!$A$3:$K$24,9,FALSE),"")&lt;&gt;0)),"",IFERROR($M72*VLOOKUP($B72,'Base de datos'!$A$3:$K$24,8,FALSE)/1000,""))))</f>
        <v/>
      </c>
      <c r="G72" s="7" t="str">
        <f>IF($B72="","",IF(OR(UPPER(IFERROR(VLOOKUP($B72,'Base de datos'!$A$3:$K$24,11,FALSE),""))="NO",ISNUMBER(SEARCH("no sometida",IFERROR(VLOOKUP($B72,'Base de datos'!$A$3:$K$24,10,FALSE),""))),ISNUMBER(SEARCH("no fiscal",IFERROR(VLOOKUP($B72,'Base de datos'!$A$3:$K$24,10,FALSE),"")))),"",IFERROR(IF(OR(ISNUMBER(SEARCH("Hach",$B72)),ISNUMBER(SEARCH("Ketamina",$B72))),IF(VLOOKUP($B72,'Base de datos'!$A$3:$K$24,6,FALSE)="","",$E72*VLOOKUP($B72,'Base de datos'!$A$3:$K$24,6,FALSE)),IF(AND(IFERROR(VLOOKUP($B72,'Base de datos'!$A$3:$K$24,9,FALSE),"")&lt;&gt;"",IFERROR(VLOOKUP($B72,'Base de datos'!$A$3:$K$24,9,FALSE),"")&lt;&gt;0),"",IF(VLOOKUP($B72,'Base de datos'!$A$3:$K$24,6,FALSE)="","",$N72*VLOOKUP($B72,'Base de datos'!$A$3:$K$24,6,FALSE)))),"")))</f>
        <v/>
      </c>
      <c r="H72" s="7" t="str">
        <f>IF($B72="","",IF(OR(UPPER(IFERROR(VLOOKUP($B72,'Base de datos'!$A$3:$K$24,11,FALSE),""))="NO",ISNUMBER(SEARCH("no sometida",IFERROR(VLOOKUP($B72,'Base de datos'!$A$3:$K$24,10,FALSE),""))),ISNUMBER(SEARCH("no fiscal",IFERROR(VLOOKUP($B72,'Base de datos'!$A$3:$K$24,10,FALSE),"")))),"",IF(OR(ISNUMBER(SEARCH("Hach",$B72)),ISNUMBER(SEARCH("Ketamina",$B72))),"",IF(AND(IFERROR(VLOOKUP($B72,'Base de datos'!$A$3:$K$24,9,FALSE),"")&lt;&gt;"",IFERROR(VLOOKUP($B72,'Base de datos'!$A$3:$K$24,9,FALSE),"")&lt;&gt;0),$E72*IFERROR(VLOOKUP($B72,'Base de datos'!$A$3:$K$24,9,FALSE),""),IFERROR($O72*VLOOKUP($B72,'Base de datos'!$A$3:$K$24,4,FALSE),"")))))</f>
        <v/>
      </c>
      <c r="I72" s="5" t="str">
        <f>IFERROR(VLOOKUP($B72,'Base de datos'!$A$3:$K$24,7,FALSE),"")</f>
        <v/>
      </c>
      <c r="J72" s="13" t="str">
        <f>IFERROR(VLOOKUP($B72,'Base de datos'!$A$3:$K$24,10,FALSE),"")</f>
        <v/>
      </c>
      <c r="K72" s="6"/>
      <c r="L72" s="4"/>
      <c r="M72" s="6" t="str">
        <f>IF(OR(OR(UPPER(IFERROR(VLOOKUP($B72,'Base de datos'!$A$3:$K$24,11,FALSE),""))="NO",ISNUMBER(SEARCH("no sometida",IFERROR(VLOOKUP($B72,'Base de datos'!$A$3:$K$24,10,FALSE),""))),ISNUMBER(SEARCH("no fiscal",IFERROR(VLOOKUP($B72,'Base de datos'!$A$3:$K$24,10,FALSE),"")))),OR(ISNUMBER(SEARCH("Hach",$B72)),ISNUMBER(SEARCH("Ketamina",$B72))),AND(IFERROR(VLOOKUP($B72,'Base de datos'!$A$3:$K$24,9,FALSE),"")&lt;&gt;"",IFERROR(VLOOKUP($B72,'Base de datos'!$A$3:$K$24,9,FALSE),"")&lt;&gt;0)),"",IFERROR($E72*$C72/$I72,""))</f>
        <v/>
      </c>
      <c r="N72" s="6" t="str">
        <f>IF(OR(OR(UPPER(IFERROR(VLOOKUP($B72,'Base de datos'!$A$3:$K$24,11,FALSE),""))="NO",ISNUMBER(SEARCH("no sometida",IFERROR(VLOOKUP($B72,'Base de datos'!$A$3:$K$24,10,FALSE),""))),ISNUMBER(SEARCH("no fiscal",IFERROR(VLOOKUP($B72,'Base de datos'!$A$3:$K$24,10,FALSE),"")))),OR(ISNUMBER(SEARCH("Hach",$B72)),ISNUMBER(SEARCH("Ketamina",$B72))),AND(IFERROR(VLOOKUP($B72,'Base de datos'!$A$3:$K$24,9,FALSE),"")&lt;&gt;"",IFERROR(VLOOKUP($B72,'Base de datos'!$A$3:$K$24,9,FALSE),"")&lt;&gt;0)),"",IFERROR($E72*$C72/IFERROR(VLOOKUP($B72,'Base de datos'!$A$3:$K$24,5,FALSE),0),""))</f>
        <v/>
      </c>
      <c r="O72" s="6" t="str">
        <f>IF(OR(OR(UPPER(IFERROR(VLOOKUP($B72,'Base de datos'!$A$3:$K$24,11,FALSE),""))="NO",ISNUMBER(SEARCH("no sometida",IFERROR(VLOOKUP($B72,'Base de datos'!$A$3:$K$24,10,FALSE),""))),ISNUMBER(SEARCH("no fiscal",IFERROR(VLOOKUP($B72,'Base de datos'!$A$3:$K$24,10,FALSE),"")))),OR(ISNUMBER(SEARCH("Hach",$B72)),ISNUMBER(SEARCH("Ketamina",$B72))),AND(IFERROR(VLOOKUP($B72,'Base de datos'!$A$3:$K$24,9,FALSE),"")&lt;&gt;"",IFERROR(VLOOKUP($B72,'Base de datos'!$A$3:$K$24,9,FALSE),"")&lt;&gt;0)),"",IFERROR((($E72*$C72/IFERROR(VLOOKUP($B72,'Base de datos'!$A$3:$K$24,3,FALSE),0))*1000)/IFERROR(VLOOKUP($B72,'Base de datos'!$A$3:$K$24,2,FALSE),0),""))</f>
        <v/>
      </c>
    </row>
    <row r="73" spans="1:15" x14ac:dyDescent="0.25">
      <c r="A73" s="4"/>
      <c r="B73" s="4"/>
      <c r="C73" s="5" t="str">
        <f>IFERROR(VLOOKUP($B73,'Base de datos'!$A$3:$K$24,3,FALSE),"")</f>
        <v/>
      </c>
      <c r="D73" s="4" t="str">
        <f t="shared" si="2"/>
        <v/>
      </c>
      <c r="E73" s="6"/>
      <c r="F73" s="7" t="str">
        <f>IF($B73="","",IF(OR(UPPER(IFERROR(VLOOKUP($B73,'Base de datos'!$A$3:$K$24,11,FALSE),""))="NO",ISNUMBER(SEARCH("no sometida",IFERROR(VLOOKUP($B73,'Base de datos'!$A$3:$K$24,10,FALSE),""))),ISNUMBER(SEARCH("no fiscal",IFERROR(VLOOKUP($B73,'Base de datos'!$A$3:$K$24,10,FALSE),"")))),"",IF(OR(OR(ISNUMBER(SEARCH("Hach",$B73)),ISNUMBER(SEARCH("Ketamina",$B73))),AND(IFERROR(VLOOKUP($B73,'Base de datos'!$A$3:$K$24,9,FALSE),"")&lt;&gt;"",IFERROR(VLOOKUP($B73,'Base de datos'!$A$3:$K$24,9,FALSE),"")&lt;&gt;0)),"",IFERROR($M73*VLOOKUP($B73,'Base de datos'!$A$3:$K$24,8,FALSE)/1000,""))))</f>
        <v/>
      </c>
      <c r="G73" s="7" t="str">
        <f>IF($B73="","",IF(OR(UPPER(IFERROR(VLOOKUP($B73,'Base de datos'!$A$3:$K$24,11,FALSE),""))="NO",ISNUMBER(SEARCH("no sometida",IFERROR(VLOOKUP($B73,'Base de datos'!$A$3:$K$24,10,FALSE),""))),ISNUMBER(SEARCH("no fiscal",IFERROR(VLOOKUP($B73,'Base de datos'!$A$3:$K$24,10,FALSE),"")))),"",IFERROR(IF(OR(ISNUMBER(SEARCH("Hach",$B73)),ISNUMBER(SEARCH("Ketamina",$B73))),IF(VLOOKUP($B73,'Base de datos'!$A$3:$K$24,6,FALSE)="","",$E73*VLOOKUP($B73,'Base de datos'!$A$3:$K$24,6,FALSE)),IF(AND(IFERROR(VLOOKUP($B73,'Base de datos'!$A$3:$K$24,9,FALSE),"")&lt;&gt;"",IFERROR(VLOOKUP($B73,'Base de datos'!$A$3:$K$24,9,FALSE),"")&lt;&gt;0),"",IF(VLOOKUP($B73,'Base de datos'!$A$3:$K$24,6,FALSE)="","",$N73*VLOOKUP($B73,'Base de datos'!$A$3:$K$24,6,FALSE)))),"")))</f>
        <v/>
      </c>
      <c r="H73" s="7" t="str">
        <f>IF($B73="","",IF(OR(UPPER(IFERROR(VLOOKUP($B73,'Base de datos'!$A$3:$K$24,11,FALSE),""))="NO",ISNUMBER(SEARCH("no sometida",IFERROR(VLOOKUP($B73,'Base de datos'!$A$3:$K$24,10,FALSE),""))),ISNUMBER(SEARCH("no fiscal",IFERROR(VLOOKUP($B73,'Base de datos'!$A$3:$K$24,10,FALSE),"")))),"",IF(OR(ISNUMBER(SEARCH("Hach",$B73)),ISNUMBER(SEARCH("Ketamina",$B73))),"",IF(AND(IFERROR(VLOOKUP($B73,'Base de datos'!$A$3:$K$24,9,FALSE),"")&lt;&gt;"",IFERROR(VLOOKUP($B73,'Base de datos'!$A$3:$K$24,9,FALSE),"")&lt;&gt;0),$E73*IFERROR(VLOOKUP($B73,'Base de datos'!$A$3:$K$24,9,FALSE),""),IFERROR($O73*VLOOKUP($B73,'Base de datos'!$A$3:$K$24,4,FALSE),"")))))</f>
        <v/>
      </c>
      <c r="I73" s="5" t="str">
        <f>IFERROR(VLOOKUP($B73,'Base de datos'!$A$3:$K$24,7,FALSE),"")</f>
        <v/>
      </c>
      <c r="J73" s="13" t="str">
        <f>IFERROR(VLOOKUP($B73,'Base de datos'!$A$3:$K$24,10,FALSE),"")</f>
        <v/>
      </c>
      <c r="K73" s="6"/>
      <c r="L73" s="4"/>
      <c r="M73" s="6" t="str">
        <f>IF(OR(OR(UPPER(IFERROR(VLOOKUP($B73,'Base de datos'!$A$3:$K$24,11,FALSE),""))="NO",ISNUMBER(SEARCH("no sometida",IFERROR(VLOOKUP($B73,'Base de datos'!$A$3:$K$24,10,FALSE),""))),ISNUMBER(SEARCH("no fiscal",IFERROR(VLOOKUP($B73,'Base de datos'!$A$3:$K$24,10,FALSE),"")))),OR(ISNUMBER(SEARCH("Hach",$B73)),ISNUMBER(SEARCH("Ketamina",$B73))),AND(IFERROR(VLOOKUP($B73,'Base de datos'!$A$3:$K$24,9,FALSE),"")&lt;&gt;"",IFERROR(VLOOKUP($B73,'Base de datos'!$A$3:$K$24,9,FALSE),"")&lt;&gt;0)),"",IFERROR($E73*$C73/$I73,""))</f>
        <v/>
      </c>
      <c r="N73" s="6" t="str">
        <f>IF(OR(OR(UPPER(IFERROR(VLOOKUP($B73,'Base de datos'!$A$3:$K$24,11,FALSE),""))="NO",ISNUMBER(SEARCH("no sometida",IFERROR(VLOOKUP($B73,'Base de datos'!$A$3:$K$24,10,FALSE),""))),ISNUMBER(SEARCH("no fiscal",IFERROR(VLOOKUP($B73,'Base de datos'!$A$3:$K$24,10,FALSE),"")))),OR(ISNUMBER(SEARCH("Hach",$B73)),ISNUMBER(SEARCH("Ketamina",$B73))),AND(IFERROR(VLOOKUP($B73,'Base de datos'!$A$3:$K$24,9,FALSE),"")&lt;&gt;"",IFERROR(VLOOKUP($B73,'Base de datos'!$A$3:$K$24,9,FALSE),"")&lt;&gt;0)),"",IFERROR($E73*$C73/IFERROR(VLOOKUP($B73,'Base de datos'!$A$3:$K$24,5,FALSE),0),""))</f>
        <v/>
      </c>
      <c r="O73" s="6" t="str">
        <f>IF(OR(OR(UPPER(IFERROR(VLOOKUP($B73,'Base de datos'!$A$3:$K$24,11,FALSE),""))="NO",ISNUMBER(SEARCH("no sometida",IFERROR(VLOOKUP($B73,'Base de datos'!$A$3:$K$24,10,FALSE),""))),ISNUMBER(SEARCH("no fiscal",IFERROR(VLOOKUP($B73,'Base de datos'!$A$3:$K$24,10,FALSE),"")))),OR(ISNUMBER(SEARCH("Hach",$B73)),ISNUMBER(SEARCH("Ketamina",$B73))),AND(IFERROR(VLOOKUP($B73,'Base de datos'!$A$3:$K$24,9,FALSE),"")&lt;&gt;"",IFERROR(VLOOKUP($B73,'Base de datos'!$A$3:$K$24,9,FALSE),"")&lt;&gt;0)),"",IFERROR((($E73*$C73/IFERROR(VLOOKUP($B73,'Base de datos'!$A$3:$K$24,3,FALSE),0))*1000)/IFERROR(VLOOKUP($B73,'Base de datos'!$A$3:$K$24,2,FALSE),0),""))</f>
        <v/>
      </c>
    </row>
    <row r="74" spans="1:15" x14ac:dyDescent="0.25">
      <c r="A74" s="4"/>
      <c r="B74" s="4"/>
      <c r="C74" s="5" t="str">
        <f>IFERROR(VLOOKUP($B74,'Base de datos'!$A$3:$K$24,3,FALSE),"")</f>
        <v/>
      </c>
      <c r="D74" s="4" t="str">
        <f t="shared" si="2"/>
        <v/>
      </c>
      <c r="E74" s="6"/>
      <c r="F74" s="7" t="str">
        <f>IF($B74="","",IF(OR(UPPER(IFERROR(VLOOKUP($B74,'Base de datos'!$A$3:$K$24,11,FALSE),""))="NO",ISNUMBER(SEARCH("no sometida",IFERROR(VLOOKUP($B74,'Base de datos'!$A$3:$K$24,10,FALSE),""))),ISNUMBER(SEARCH("no fiscal",IFERROR(VLOOKUP($B74,'Base de datos'!$A$3:$K$24,10,FALSE),"")))),"",IF(OR(OR(ISNUMBER(SEARCH("Hach",$B74)),ISNUMBER(SEARCH("Ketamina",$B74))),AND(IFERROR(VLOOKUP($B74,'Base de datos'!$A$3:$K$24,9,FALSE),"")&lt;&gt;"",IFERROR(VLOOKUP($B74,'Base de datos'!$A$3:$K$24,9,FALSE),"")&lt;&gt;0)),"",IFERROR($M74*VLOOKUP($B74,'Base de datos'!$A$3:$K$24,8,FALSE)/1000,""))))</f>
        <v/>
      </c>
      <c r="G74" s="7" t="str">
        <f>IF($B74="","",IF(OR(UPPER(IFERROR(VLOOKUP($B74,'Base de datos'!$A$3:$K$24,11,FALSE),""))="NO",ISNUMBER(SEARCH("no sometida",IFERROR(VLOOKUP($B74,'Base de datos'!$A$3:$K$24,10,FALSE),""))),ISNUMBER(SEARCH("no fiscal",IFERROR(VLOOKUP($B74,'Base de datos'!$A$3:$K$24,10,FALSE),"")))),"",IFERROR(IF(OR(ISNUMBER(SEARCH("Hach",$B74)),ISNUMBER(SEARCH("Ketamina",$B74))),IF(VLOOKUP($B74,'Base de datos'!$A$3:$K$24,6,FALSE)="","",$E74*VLOOKUP($B74,'Base de datos'!$A$3:$K$24,6,FALSE)),IF(AND(IFERROR(VLOOKUP($B74,'Base de datos'!$A$3:$K$24,9,FALSE),"")&lt;&gt;"",IFERROR(VLOOKUP($B74,'Base de datos'!$A$3:$K$24,9,FALSE),"")&lt;&gt;0),"",IF(VLOOKUP($B74,'Base de datos'!$A$3:$K$24,6,FALSE)="","",$N74*VLOOKUP($B74,'Base de datos'!$A$3:$K$24,6,FALSE)))),"")))</f>
        <v/>
      </c>
      <c r="H74" s="7" t="str">
        <f>IF($B74="","",IF(OR(UPPER(IFERROR(VLOOKUP($B74,'Base de datos'!$A$3:$K$24,11,FALSE),""))="NO",ISNUMBER(SEARCH("no sometida",IFERROR(VLOOKUP($B74,'Base de datos'!$A$3:$K$24,10,FALSE),""))),ISNUMBER(SEARCH("no fiscal",IFERROR(VLOOKUP($B74,'Base de datos'!$A$3:$K$24,10,FALSE),"")))),"",IF(OR(ISNUMBER(SEARCH("Hach",$B74)),ISNUMBER(SEARCH("Ketamina",$B74))),"",IF(AND(IFERROR(VLOOKUP($B74,'Base de datos'!$A$3:$K$24,9,FALSE),"")&lt;&gt;"",IFERROR(VLOOKUP($B74,'Base de datos'!$A$3:$K$24,9,FALSE),"")&lt;&gt;0),$E74*IFERROR(VLOOKUP($B74,'Base de datos'!$A$3:$K$24,9,FALSE),""),IFERROR($O74*VLOOKUP($B74,'Base de datos'!$A$3:$K$24,4,FALSE),"")))))</f>
        <v/>
      </c>
      <c r="I74" s="5" t="str">
        <f>IFERROR(VLOOKUP($B74,'Base de datos'!$A$3:$K$24,7,FALSE),"")</f>
        <v/>
      </c>
      <c r="J74" s="13" t="str">
        <f>IFERROR(VLOOKUP($B74,'Base de datos'!$A$3:$K$24,10,FALSE),"")</f>
        <v/>
      </c>
      <c r="K74" s="6"/>
      <c r="L74" s="4"/>
      <c r="M74" s="6" t="str">
        <f>IF(OR(OR(UPPER(IFERROR(VLOOKUP($B74,'Base de datos'!$A$3:$K$24,11,FALSE),""))="NO",ISNUMBER(SEARCH("no sometida",IFERROR(VLOOKUP($B74,'Base de datos'!$A$3:$K$24,10,FALSE),""))),ISNUMBER(SEARCH("no fiscal",IFERROR(VLOOKUP($B74,'Base de datos'!$A$3:$K$24,10,FALSE),"")))),OR(ISNUMBER(SEARCH("Hach",$B74)),ISNUMBER(SEARCH("Ketamina",$B74))),AND(IFERROR(VLOOKUP($B74,'Base de datos'!$A$3:$K$24,9,FALSE),"")&lt;&gt;"",IFERROR(VLOOKUP($B74,'Base de datos'!$A$3:$K$24,9,FALSE),"")&lt;&gt;0)),"",IFERROR($E74*$C74/$I74,""))</f>
        <v/>
      </c>
      <c r="N74" s="6" t="str">
        <f>IF(OR(OR(UPPER(IFERROR(VLOOKUP($B74,'Base de datos'!$A$3:$K$24,11,FALSE),""))="NO",ISNUMBER(SEARCH("no sometida",IFERROR(VLOOKUP($B74,'Base de datos'!$A$3:$K$24,10,FALSE),""))),ISNUMBER(SEARCH("no fiscal",IFERROR(VLOOKUP($B74,'Base de datos'!$A$3:$K$24,10,FALSE),"")))),OR(ISNUMBER(SEARCH("Hach",$B74)),ISNUMBER(SEARCH("Ketamina",$B74))),AND(IFERROR(VLOOKUP($B74,'Base de datos'!$A$3:$K$24,9,FALSE),"")&lt;&gt;"",IFERROR(VLOOKUP($B74,'Base de datos'!$A$3:$K$24,9,FALSE),"")&lt;&gt;0)),"",IFERROR($E74*$C74/IFERROR(VLOOKUP($B74,'Base de datos'!$A$3:$K$24,5,FALSE),0),""))</f>
        <v/>
      </c>
      <c r="O74" s="6" t="str">
        <f>IF(OR(OR(UPPER(IFERROR(VLOOKUP($B74,'Base de datos'!$A$3:$K$24,11,FALSE),""))="NO",ISNUMBER(SEARCH("no sometida",IFERROR(VLOOKUP($B74,'Base de datos'!$A$3:$K$24,10,FALSE),""))),ISNUMBER(SEARCH("no fiscal",IFERROR(VLOOKUP($B74,'Base de datos'!$A$3:$K$24,10,FALSE),"")))),OR(ISNUMBER(SEARCH("Hach",$B74)),ISNUMBER(SEARCH("Ketamina",$B74))),AND(IFERROR(VLOOKUP($B74,'Base de datos'!$A$3:$K$24,9,FALSE),"")&lt;&gt;"",IFERROR(VLOOKUP($B74,'Base de datos'!$A$3:$K$24,9,FALSE),"")&lt;&gt;0)),"",IFERROR((($E74*$C74/IFERROR(VLOOKUP($B74,'Base de datos'!$A$3:$K$24,3,FALSE),0))*1000)/IFERROR(VLOOKUP($B74,'Base de datos'!$A$3:$K$24,2,FALSE),0),""))</f>
        <v/>
      </c>
    </row>
    <row r="75" spans="1:15" x14ac:dyDescent="0.25">
      <c r="A75" s="4"/>
      <c r="B75" s="4"/>
      <c r="C75" s="5" t="str">
        <f>IFERROR(VLOOKUP($B75,'Base de datos'!$A$3:$K$24,3,FALSE),"")</f>
        <v/>
      </c>
      <c r="D75" s="4" t="str">
        <f t="shared" si="2"/>
        <v/>
      </c>
      <c r="E75" s="6"/>
      <c r="F75" s="7" t="str">
        <f>IF($B75="","",IF(OR(UPPER(IFERROR(VLOOKUP($B75,'Base de datos'!$A$3:$K$24,11,FALSE),""))="NO",ISNUMBER(SEARCH("no sometida",IFERROR(VLOOKUP($B75,'Base de datos'!$A$3:$K$24,10,FALSE),""))),ISNUMBER(SEARCH("no fiscal",IFERROR(VLOOKUP($B75,'Base de datos'!$A$3:$K$24,10,FALSE),"")))),"",IF(OR(OR(ISNUMBER(SEARCH("Hach",$B75)),ISNUMBER(SEARCH("Ketamina",$B75))),AND(IFERROR(VLOOKUP($B75,'Base de datos'!$A$3:$K$24,9,FALSE),"")&lt;&gt;"",IFERROR(VLOOKUP($B75,'Base de datos'!$A$3:$K$24,9,FALSE),"")&lt;&gt;0)),"",IFERROR($M75*VLOOKUP($B75,'Base de datos'!$A$3:$K$24,8,FALSE)/1000,""))))</f>
        <v/>
      </c>
      <c r="G75" s="7" t="str">
        <f>IF($B75="","",IF(OR(UPPER(IFERROR(VLOOKUP($B75,'Base de datos'!$A$3:$K$24,11,FALSE),""))="NO",ISNUMBER(SEARCH("no sometida",IFERROR(VLOOKUP($B75,'Base de datos'!$A$3:$K$24,10,FALSE),""))),ISNUMBER(SEARCH("no fiscal",IFERROR(VLOOKUP($B75,'Base de datos'!$A$3:$K$24,10,FALSE),"")))),"",IFERROR(IF(OR(ISNUMBER(SEARCH("Hach",$B75)),ISNUMBER(SEARCH("Ketamina",$B75))),IF(VLOOKUP($B75,'Base de datos'!$A$3:$K$24,6,FALSE)="","",$E75*VLOOKUP($B75,'Base de datos'!$A$3:$K$24,6,FALSE)),IF(AND(IFERROR(VLOOKUP($B75,'Base de datos'!$A$3:$K$24,9,FALSE),"")&lt;&gt;"",IFERROR(VLOOKUP($B75,'Base de datos'!$A$3:$K$24,9,FALSE),"")&lt;&gt;0),"",IF(VLOOKUP($B75,'Base de datos'!$A$3:$K$24,6,FALSE)="","",$N75*VLOOKUP($B75,'Base de datos'!$A$3:$K$24,6,FALSE)))),"")))</f>
        <v/>
      </c>
      <c r="H75" s="7" t="str">
        <f>IF($B75="","",IF(OR(UPPER(IFERROR(VLOOKUP($B75,'Base de datos'!$A$3:$K$24,11,FALSE),""))="NO",ISNUMBER(SEARCH("no sometida",IFERROR(VLOOKUP($B75,'Base de datos'!$A$3:$K$24,10,FALSE),""))),ISNUMBER(SEARCH("no fiscal",IFERROR(VLOOKUP($B75,'Base de datos'!$A$3:$K$24,10,FALSE),"")))),"",IF(OR(ISNUMBER(SEARCH("Hach",$B75)),ISNUMBER(SEARCH("Ketamina",$B75))),"",IF(AND(IFERROR(VLOOKUP($B75,'Base de datos'!$A$3:$K$24,9,FALSE),"")&lt;&gt;"",IFERROR(VLOOKUP($B75,'Base de datos'!$A$3:$K$24,9,FALSE),"")&lt;&gt;0),$E75*IFERROR(VLOOKUP($B75,'Base de datos'!$A$3:$K$24,9,FALSE),""),IFERROR($O75*VLOOKUP($B75,'Base de datos'!$A$3:$K$24,4,FALSE),"")))))</f>
        <v/>
      </c>
      <c r="I75" s="5" t="str">
        <f>IFERROR(VLOOKUP($B75,'Base de datos'!$A$3:$K$24,7,FALSE),"")</f>
        <v/>
      </c>
      <c r="J75" s="13" t="str">
        <f>IFERROR(VLOOKUP($B75,'Base de datos'!$A$3:$K$24,10,FALSE),"")</f>
        <v/>
      </c>
      <c r="K75" s="6"/>
      <c r="L75" s="4"/>
      <c r="M75" s="6" t="str">
        <f>IF(OR(OR(UPPER(IFERROR(VLOOKUP($B75,'Base de datos'!$A$3:$K$24,11,FALSE),""))="NO",ISNUMBER(SEARCH("no sometida",IFERROR(VLOOKUP($B75,'Base de datos'!$A$3:$K$24,10,FALSE),""))),ISNUMBER(SEARCH("no fiscal",IFERROR(VLOOKUP($B75,'Base de datos'!$A$3:$K$24,10,FALSE),"")))),OR(ISNUMBER(SEARCH("Hach",$B75)),ISNUMBER(SEARCH("Ketamina",$B75))),AND(IFERROR(VLOOKUP($B75,'Base de datos'!$A$3:$K$24,9,FALSE),"")&lt;&gt;"",IFERROR(VLOOKUP($B75,'Base de datos'!$A$3:$K$24,9,FALSE),"")&lt;&gt;0)),"",IFERROR($E75*$C75/$I75,""))</f>
        <v/>
      </c>
      <c r="N75" s="6" t="str">
        <f>IF(OR(OR(UPPER(IFERROR(VLOOKUP($B75,'Base de datos'!$A$3:$K$24,11,FALSE),""))="NO",ISNUMBER(SEARCH("no sometida",IFERROR(VLOOKUP($B75,'Base de datos'!$A$3:$K$24,10,FALSE),""))),ISNUMBER(SEARCH("no fiscal",IFERROR(VLOOKUP($B75,'Base de datos'!$A$3:$K$24,10,FALSE),"")))),OR(ISNUMBER(SEARCH("Hach",$B75)),ISNUMBER(SEARCH("Ketamina",$B75))),AND(IFERROR(VLOOKUP($B75,'Base de datos'!$A$3:$K$24,9,FALSE),"")&lt;&gt;"",IFERROR(VLOOKUP($B75,'Base de datos'!$A$3:$K$24,9,FALSE),"")&lt;&gt;0)),"",IFERROR($E75*$C75/IFERROR(VLOOKUP($B75,'Base de datos'!$A$3:$K$24,5,FALSE),0),""))</f>
        <v/>
      </c>
      <c r="O75" s="6" t="str">
        <f>IF(OR(OR(UPPER(IFERROR(VLOOKUP($B75,'Base de datos'!$A$3:$K$24,11,FALSE),""))="NO",ISNUMBER(SEARCH("no sometida",IFERROR(VLOOKUP($B75,'Base de datos'!$A$3:$K$24,10,FALSE),""))),ISNUMBER(SEARCH("no fiscal",IFERROR(VLOOKUP($B75,'Base de datos'!$A$3:$K$24,10,FALSE),"")))),OR(ISNUMBER(SEARCH("Hach",$B75)),ISNUMBER(SEARCH("Ketamina",$B75))),AND(IFERROR(VLOOKUP($B75,'Base de datos'!$A$3:$K$24,9,FALSE),"")&lt;&gt;"",IFERROR(VLOOKUP($B75,'Base de datos'!$A$3:$K$24,9,FALSE),"")&lt;&gt;0)),"",IFERROR((($E75*$C75/IFERROR(VLOOKUP($B75,'Base de datos'!$A$3:$K$24,3,FALSE),0))*1000)/IFERROR(VLOOKUP($B75,'Base de datos'!$A$3:$K$24,2,FALSE),0),""))</f>
        <v/>
      </c>
    </row>
    <row r="76" spans="1:15" x14ac:dyDescent="0.25">
      <c r="A76" s="4"/>
      <c r="B76" s="4"/>
      <c r="C76" s="5" t="str">
        <f>IFERROR(VLOOKUP($B76,'Base de datos'!$A$3:$K$24,3,FALSE),"")</f>
        <v/>
      </c>
      <c r="D76" s="4" t="str">
        <f t="shared" si="2"/>
        <v/>
      </c>
      <c r="E76" s="6"/>
      <c r="F76" s="7" t="str">
        <f>IF($B76="","",IF(OR(UPPER(IFERROR(VLOOKUP($B76,'Base de datos'!$A$3:$K$24,11,FALSE),""))="NO",ISNUMBER(SEARCH("no sometida",IFERROR(VLOOKUP($B76,'Base de datos'!$A$3:$K$24,10,FALSE),""))),ISNUMBER(SEARCH("no fiscal",IFERROR(VLOOKUP($B76,'Base de datos'!$A$3:$K$24,10,FALSE),"")))),"",IF(OR(OR(ISNUMBER(SEARCH("Hach",$B76)),ISNUMBER(SEARCH("Ketamina",$B76))),AND(IFERROR(VLOOKUP($B76,'Base de datos'!$A$3:$K$24,9,FALSE),"")&lt;&gt;"",IFERROR(VLOOKUP($B76,'Base de datos'!$A$3:$K$24,9,FALSE),"")&lt;&gt;0)),"",IFERROR($M76*VLOOKUP($B76,'Base de datos'!$A$3:$K$24,8,FALSE)/1000,""))))</f>
        <v/>
      </c>
      <c r="G76" s="7" t="str">
        <f>IF($B76="","",IF(OR(UPPER(IFERROR(VLOOKUP($B76,'Base de datos'!$A$3:$K$24,11,FALSE),""))="NO",ISNUMBER(SEARCH("no sometida",IFERROR(VLOOKUP($B76,'Base de datos'!$A$3:$K$24,10,FALSE),""))),ISNUMBER(SEARCH("no fiscal",IFERROR(VLOOKUP($B76,'Base de datos'!$A$3:$K$24,10,FALSE),"")))),"",IFERROR(IF(OR(ISNUMBER(SEARCH("Hach",$B76)),ISNUMBER(SEARCH("Ketamina",$B76))),IF(VLOOKUP($B76,'Base de datos'!$A$3:$K$24,6,FALSE)="","",$E76*VLOOKUP($B76,'Base de datos'!$A$3:$K$24,6,FALSE)),IF(AND(IFERROR(VLOOKUP($B76,'Base de datos'!$A$3:$K$24,9,FALSE),"")&lt;&gt;"",IFERROR(VLOOKUP($B76,'Base de datos'!$A$3:$K$24,9,FALSE),"")&lt;&gt;0),"",IF(VLOOKUP($B76,'Base de datos'!$A$3:$K$24,6,FALSE)="","",$N76*VLOOKUP($B76,'Base de datos'!$A$3:$K$24,6,FALSE)))),"")))</f>
        <v/>
      </c>
      <c r="H76" s="7" t="str">
        <f>IF($B76="","",IF(OR(UPPER(IFERROR(VLOOKUP($B76,'Base de datos'!$A$3:$K$24,11,FALSE),""))="NO",ISNUMBER(SEARCH("no sometida",IFERROR(VLOOKUP($B76,'Base de datos'!$A$3:$K$24,10,FALSE),""))),ISNUMBER(SEARCH("no fiscal",IFERROR(VLOOKUP($B76,'Base de datos'!$A$3:$K$24,10,FALSE),"")))),"",IF(OR(ISNUMBER(SEARCH("Hach",$B76)),ISNUMBER(SEARCH("Ketamina",$B76))),"",IF(AND(IFERROR(VLOOKUP($B76,'Base de datos'!$A$3:$K$24,9,FALSE),"")&lt;&gt;"",IFERROR(VLOOKUP($B76,'Base de datos'!$A$3:$K$24,9,FALSE),"")&lt;&gt;0),$E76*IFERROR(VLOOKUP($B76,'Base de datos'!$A$3:$K$24,9,FALSE),""),IFERROR($O76*VLOOKUP($B76,'Base de datos'!$A$3:$K$24,4,FALSE),"")))))</f>
        <v/>
      </c>
      <c r="I76" s="5" t="str">
        <f>IFERROR(VLOOKUP($B76,'Base de datos'!$A$3:$K$24,7,FALSE),"")</f>
        <v/>
      </c>
      <c r="J76" s="13" t="str">
        <f>IFERROR(VLOOKUP($B76,'Base de datos'!$A$3:$K$24,10,FALSE),"")</f>
        <v/>
      </c>
      <c r="K76" s="6"/>
      <c r="L76" s="4"/>
      <c r="M76" s="6" t="str">
        <f>IF(OR(OR(UPPER(IFERROR(VLOOKUP($B76,'Base de datos'!$A$3:$K$24,11,FALSE),""))="NO",ISNUMBER(SEARCH("no sometida",IFERROR(VLOOKUP($B76,'Base de datos'!$A$3:$K$24,10,FALSE),""))),ISNUMBER(SEARCH("no fiscal",IFERROR(VLOOKUP($B76,'Base de datos'!$A$3:$K$24,10,FALSE),"")))),OR(ISNUMBER(SEARCH("Hach",$B76)),ISNUMBER(SEARCH("Ketamina",$B76))),AND(IFERROR(VLOOKUP($B76,'Base de datos'!$A$3:$K$24,9,FALSE),"")&lt;&gt;"",IFERROR(VLOOKUP($B76,'Base de datos'!$A$3:$K$24,9,FALSE),"")&lt;&gt;0)),"",IFERROR($E76*$C76/$I76,""))</f>
        <v/>
      </c>
      <c r="N76" s="6" t="str">
        <f>IF(OR(OR(UPPER(IFERROR(VLOOKUP($B76,'Base de datos'!$A$3:$K$24,11,FALSE),""))="NO",ISNUMBER(SEARCH("no sometida",IFERROR(VLOOKUP($B76,'Base de datos'!$A$3:$K$24,10,FALSE),""))),ISNUMBER(SEARCH("no fiscal",IFERROR(VLOOKUP($B76,'Base de datos'!$A$3:$K$24,10,FALSE),"")))),OR(ISNUMBER(SEARCH("Hach",$B76)),ISNUMBER(SEARCH("Ketamina",$B76))),AND(IFERROR(VLOOKUP($B76,'Base de datos'!$A$3:$K$24,9,FALSE),"")&lt;&gt;"",IFERROR(VLOOKUP($B76,'Base de datos'!$A$3:$K$24,9,FALSE),"")&lt;&gt;0)),"",IFERROR($E76*$C76/IFERROR(VLOOKUP($B76,'Base de datos'!$A$3:$K$24,5,FALSE),0),""))</f>
        <v/>
      </c>
      <c r="O76" s="6" t="str">
        <f>IF(OR(OR(UPPER(IFERROR(VLOOKUP($B76,'Base de datos'!$A$3:$K$24,11,FALSE),""))="NO",ISNUMBER(SEARCH("no sometida",IFERROR(VLOOKUP($B76,'Base de datos'!$A$3:$K$24,10,FALSE),""))),ISNUMBER(SEARCH("no fiscal",IFERROR(VLOOKUP($B76,'Base de datos'!$A$3:$K$24,10,FALSE),"")))),OR(ISNUMBER(SEARCH("Hach",$B76)),ISNUMBER(SEARCH("Ketamina",$B76))),AND(IFERROR(VLOOKUP($B76,'Base de datos'!$A$3:$K$24,9,FALSE),"")&lt;&gt;"",IFERROR(VLOOKUP($B76,'Base de datos'!$A$3:$K$24,9,FALSE),"")&lt;&gt;0)),"",IFERROR((($E76*$C76/IFERROR(VLOOKUP($B76,'Base de datos'!$A$3:$K$24,3,FALSE),0))*1000)/IFERROR(VLOOKUP($B76,'Base de datos'!$A$3:$K$24,2,FALSE),0),""))</f>
        <v/>
      </c>
    </row>
    <row r="77" spans="1:15" x14ac:dyDescent="0.25">
      <c r="A77" s="4"/>
      <c r="B77" s="4"/>
      <c r="C77" s="5" t="str">
        <f>IFERROR(VLOOKUP($B77,'Base de datos'!$A$3:$K$24,3,FALSE),"")</f>
        <v/>
      </c>
      <c r="D77" s="4" t="str">
        <f t="shared" si="2"/>
        <v/>
      </c>
      <c r="E77" s="6"/>
      <c r="F77" s="7" t="str">
        <f>IF($B77="","",IF(OR(UPPER(IFERROR(VLOOKUP($B77,'Base de datos'!$A$3:$K$24,11,FALSE),""))="NO",ISNUMBER(SEARCH("no sometida",IFERROR(VLOOKUP($B77,'Base de datos'!$A$3:$K$24,10,FALSE),""))),ISNUMBER(SEARCH("no fiscal",IFERROR(VLOOKUP($B77,'Base de datos'!$A$3:$K$24,10,FALSE),"")))),"",IF(OR(OR(ISNUMBER(SEARCH("Hach",$B77)),ISNUMBER(SEARCH("Ketamina",$B77))),AND(IFERROR(VLOOKUP($B77,'Base de datos'!$A$3:$K$24,9,FALSE),"")&lt;&gt;"",IFERROR(VLOOKUP($B77,'Base de datos'!$A$3:$K$24,9,FALSE),"")&lt;&gt;0)),"",IFERROR($M77*VLOOKUP($B77,'Base de datos'!$A$3:$K$24,8,FALSE)/1000,""))))</f>
        <v/>
      </c>
      <c r="G77" s="7" t="str">
        <f>IF($B77="","",IF(OR(UPPER(IFERROR(VLOOKUP($B77,'Base de datos'!$A$3:$K$24,11,FALSE),""))="NO",ISNUMBER(SEARCH("no sometida",IFERROR(VLOOKUP($B77,'Base de datos'!$A$3:$K$24,10,FALSE),""))),ISNUMBER(SEARCH("no fiscal",IFERROR(VLOOKUP($B77,'Base de datos'!$A$3:$K$24,10,FALSE),"")))),"",IFERROR(IF(OR(ISNUMBER(SEARCH("Hach",$B77)),ISNUMBER(SEARCH("Ketamina",$B77))),IF(VLOOKUP($B77,'Base de datos'!$A$3:$K$24,6,FALSE)="","",$E77*VLOOKUP($B77,'Base de datos'!$A$3:$K$24,6,FALSE)),IF(AND(IFERROR(VLOOKUP($B77,'Base de datos'!$A$3:$K$24,9,FALSE),"")&lt;&gt;"",IFERROR(VLOOKUP($B77,'Base de datos'!$A$3:$K$24,9,FALSE),"")&lt;&gt;0),"",IF(VLOOKUP($B77,'Base de datos'!$A$3:$K$24,6,FALSE)="","",$N77*VLOOKUP($B77,'Base de datos'!$A$3:$K$24,6,FALSE)))),"")))</f>
        <v/>
      </c>
      <c r="H77" s="7" t="str">
        <f>IF($B77="","",IF(OR(UPPER(IFERROR(VLOOKUP($B77,'Base de datos'!$A$3:$K$24,11,FALSE),""))="NO",ISNUMBER(SEARCH("no sometida",IFERROR(VLOOKUP($B77,'Base de datos'!$A$3:$K$24,10,FALSE),""))),ISNUMBER(SEARCH("no fiscal",IFERROR(VLOOKUP($B77,'Base de datos'!$A$3:$K$24,10,FALSE),"")))),"",IF(OR(ISNUMBER(SEARCH("Hach",$B77)),ISNUMBER(SEARCH("Ketamina",$B77))),"",IF(AND(IFERROR(VLOOKUP($B77,'Base de datos'!$A$3:$K$24,9,FALSE),"")&lt;&gt;"",IFERROR(VLOOKUP($B77,'Base de datos'!$A$3:$K$24,9,FALSE),"")&lt;&gt;0),$E77*IFERROR(VLOOKUP($B77,'Base de datos'!$A$3:$K$24,9,FALSE),""),IFERROR($O77*VLOOKUP($B77,'Base de datos'!$A$3:$K$24,4,FALSE),"")))))</f>
        <v/>
      </c>
      <c r="I77" s="5" t="str">
        <f>IFERROR(VLOOKUP($B77,'Base de datos'!$A$3:$K$24,7,FALSE),"")</f>
        <v/>
      </c>
      <c r="J77" s="13" t="str">
        <f>IFERROR(VLOOKUP($B77,'Base de datos'!$A$3:$K$24,10,FALSE),"")</f>
        <v/>
      </c>
      <c r="K77" s="6"/>
      <c r="L77" s="4"/>
      <c r="M77" s="6" t="str">
        <f>IF(OR(OR(UPPER(IFERROR(VLOOKUP($B77,'Base de datos'!$A$3:$K$24,11,FALSE),""))="NO",ISNUMBER(SEARCH("no sometida",IFERROR(VLOOKUP($B77,'Base de datos'!$A$3:$K$24,10,FALSE),""))),ISNUMBER(SEARCH("no fiscal",IFERROR(VLOOKUP($B77,'Base de datos'!$A$3:$K$24,10,FALSE),"")))),OR(ISNUMBER(SEARCH("Hach",$B77)),ISNUMBER(SEARCH("Ketamina",$B77))),AND(IFERROR(VLOOKUP($B77,'Base de datos'!$A$3:$K$24,9,FALSE),"")&lt;&gt;"",IFERROR(VLOOKUP($B77,'Base de datos'!$A$3:$K$24,9,FALSE),"")&lt;&gt;0)),"",IFERROR($E77*$C77/$I77,""))</f>
        <v/>
      </c>
      <c r="N77" s="6" t="str">
        <f>IF(OR(OR(UPPER(IFERROR(VLOOKUP($B77,'Base de datos'!$A$3:$K$24,11,FALSE),""))="NO",ISNUMBER(SEARCH("no sometida",IFERROR(VLOOKUP($B77,'Base de datos'!$A$3:$K$24,10,FALSE),""))),ISNUMBER(SEARCH("no fiscal",IFERROR(VLOOKUP($B77,'Base de datos'!$A$3:$K$24,10,FALSE),"")))),OR(ISNUMBER(SEARCH("Hach",$B77)),ISNUMBER(SEARCH("Ketamina",$B77))),AND(IFERROR(VLOOKUP($B77,'Base de datos'!$A$3:$K$24,9,FALSE),"")&lt;&gt;"",IFERROR(VLOOKUP($B77,'Base de datos'!$A$3:$K$24,9,FALSE),"")&lt;&gt;0)),"",IFERROR($E77*$C77/IFERROR(VLOOKUP($B77,'Base de datos'!$A$3:$K$24,5,FALSE),0),""))</f>
        <v/>
      </c>
      <c r="O77" s="6" t="str">
        <f>IF(OR(OR(UPPER(IFERROR(VLOOKUP($B77,'Base de datos'!$A$3:$K$24,11,FALSE),""))="NO",ISNUMBER(SEARCH("no sometida",IFERROR(VLOOKUP($B77,'Base de datos'!$A$3:$K$24,10,FALSE),""))),ISNUMBER(SEARCH("no fiscal",IFERROR(VLOOKUP($B77,'Base de datos'!$A$3:$K$24,10,FALSE),"")))),OR(ISNUMBER(SEARCH("Hach",$B77)),ISNUMBER(SEARCH("Ketamina",$B77))),AND(IFERROR(VLOOKUP($B77,'Base de datos'!$A$3:$K$24,9,FALSE),"")&lt;&gt;"",IFERROR(VLOOKUP($B77,'Base de datos'!$A$3:$K$24,9,FALSE),"")&lt;&gt;0)),"",IFERROR((($E77*$C77/IFERROR(VLOOKUP($B77,'Base de datos'!$A$3:$K$24,3,FALSE),0))*1000)/IFERROR(VLOOKUP($B77,'Base de datos'!$A$3:$K$24,2,FALSE),0),""))</f>
        <v/>
      </c>
    </row>
    <row r="78" spans="1:15" x14ac:dyDescent="0.25">
      <c r="A78" s="4"/>
      <c r="B78" s="4"/>
      <c r="C78" s="5" t="str">
        <f>IFERROR(VLOOKUP($B78,'Base de datos'!$A$3:$K$24,3,FALSE),"")</f>
        <v/>
      </c>
      <c r="D78" s="4" t="str">
        <f t="shared" si="2"/>
        <v/>
      </c>
      <c r="E78" s="6"/>
      <c r="F78" s="7" t="str">
        <f>IF($B78="","",IF(OR(UPPER(IFERROR(VLOOKUP($B78,'Base de datos'!$A$3:$K$24,11,FALSE),""))="NO",ISNUMBER(SEARCH("no sometida",IFERROR(VLOOKUP($B78,'Base de datos'!$A$3:$K$24,10,FALSE),""))),ISNUMBER(SEARCH("no fiscal",IFERROR(VLOOKUP($B78,'Base de datos'!$A$3:$K$24,10,FALSE),"")))),"",IF(OR(OR(ISNUMBER(SEARCH("Hach",$B78)),ISNUMBER(SEARCH("Ketamina",$B78))),AND(IFERROR(VLOOKUP($B78,'Base de datos'!$A$3:$K$24,9,FALSE),"")&lt;&gt;"",IFERROR(VLOOKUP($B78,'Base de datos'!$A$3:$K$24,9,FALSE),"")&lt;&gt;0)),"",IFERROR($M78*VLOOKUP($B78,'Base de datos'!$A$3:$K$24,8,FALSE)/1000,""))))</f>
        <v/>
      </c>
      <c r="G78" s="7" t="str">
        <f>IF($B78="","",IF(OR(UPPER(IFERROR(VLOOKUP($B78,'Base de datos'!$A$3:$K$24,11,FALSE),""))="NO",ISNUMBER(SEARCH("no sometida",IFERROR(VLOOKUP($B78,'Base de datos'!$A$3:$K$24,10,FALSE),""))),ISNUMBER(SEARCH("no fiscal",IFERROR(VLOOKUP($B78,'Base de datos'!$A$3:$K$24,10,FALSE),"")))),"",IFERROR(IF(OR(ISNUMBER(SEARCH("Hach",$B78)),ISNUMBER(SEARCH("Ketamina",$B78))),IF(VLOOKUP($B78,'Base de datos'!$A$3:$K$24,6,FALSE)="","",$E78*VLOOKUP($B78,'Base de datos'!$A$3:$K$24,6,FALSE)),IF(AND(IFERROR(VLOOKUP($B78,'Base de datos'!$A$3:$K$24,9,FALSE),"")&lt;&gt;"",IFERROR(VLOOKUP($B78,'Base de datos'!$A$3:$K$24,9,FALSE),"")&lt;&gt;0),"",IF(VLOOKUP($B78,'Base de datos'!$A$3:$K$24,6,FALSE)="","",$N78*VLOOKUP($B78,'Base de datos'!$A$3:$K$24,6,FALSE)))),"")))</f>
        <v/>
      </c>
      <c r="H78" s="7" t="str">
        <f>IF($B78="","",IF(OR(UPPER(IFERROR(VLOOKUP($B78,'Base de datos'!$A$3:$K$24,11,FALSE),""))="NO",ISNUMBER(SEARCH("no sometida",IFERROR(VLOOKUP($B78,'Base de datos'!$A$3:$K$24,10,FALSE),""))),ISNUMBER(SEARCH("no fiscal",IFERROR(VLOOKUP($B78,'Base de datos'!$A$3:$K$24,10,FALSE),"")))),"",IF(OR(ISNUMBER(SEARCH("Hach",$B78)),ISNUMBER(SEARCH("Ketamina",$B78))),"",IF(AND(IFERROR(VLOOKUP($B78,'Base de datos'!$A$3:$K$24,9,FALSE),"")&lt;&gt;"",IFERROR(VLOOKUP($B78,'Base de datos'!$A$3:$K$24,9,FALSE),"")&lt;&gt;0),$E78*IFERROR(VLOOKUP($B78,'Base de datos'!$A$3:$K$24,9,FALSE),""),IFERROR($O78*VLOOKUP($B78,'Base de datos'!$A$3:$K$24,4,FALSE),"")))))</f>
        <v/>
      </c>
      <c r="I78" s="5" t="str">
        <f>IFERROR(VLOOKUP($B78,'Base de datos'!$A$3:$K$24,7,FALSE),"")</f>
        <v/>
      </c>
      <c r="J78" s="13" t="str">
        <f>IFERROR(VLOOKUP($B78,'Base de datos'!$A$3:$K$24,10,FALSE),"")</f>
        <v/>
      </c>
      <c r="K78" s="6"/>
      <c r="L78" s="4"/>
      <c r="M78" s="6" t="str">
        <f>IF(OR(OR(UPPER(IFERROR(VLOOKUP($B78,'Base de datos'!$A$3:$K$24,11,FALSE),""))="NO",ISNUMBER(SEARCH("no sometida",IFERROR(VLOOKUP($B78,'Base de datos'!$A$3:$K$24,10,FALSE),""))),ISNUMBER(SEARCH("no fiscal",IFERROR(VLOOKUP($B78,'Base de datos'!$A$3:$K$24,10,FALSE),"")))),OR(ISNUMBER(SEARCH("Hach",$B78)),ISNUMBER(SEARCH("Ketamina",$B78))),AND(IFERROR(VLOOKUP($B78,'Base de datos'!$A$3:$K$24,9,FALSE),"")&lt;&gt;"",IFERROR(VLOOKUP($B78,'Base de datos'!$A$3:$K$24,9,FALSE),"")&lt;&gt;0)),"",IFERROR($E78*$C78/$I78,""))</f>
        <v/>
      </c>
      <c r="N78" s="6" t="str">
        <f>IF(OR(OR(UPPER(IFERROR(VLOOKUP($B78,'Base de datos'!$A$3:$K$24,11,FALSE),""))="NO",ISNUMBER(SEARCH("no sometida",IFERROR(VLOOKUP($B78,'Base de datos'!$A$3:$K$24,10,FALSE),""))),ISNUMBER(SEARCH("no fiscal",IFERROR(VLOOKUP($B78,'Base de datos'!$A$3:$K$24,10,FALSE),"")))),OR(ISNUMBER(SEARCH("Hach",$B78)),ISNUMBER(SEARCH("Ketamina",$B78))),AND(IFERROR(VLOOKUP($B78,'Base de datos'!$A$3:$K$24,9,FALSE),"")&lt;&gt;"",IFERROR(VLOOKUP($B78,'Base de datos'!$A$3:$K$24,9,FALSE),"")&lt;&gt;0)),"",IFERROR($E78*$C78/IFERROR(VLOOKUP($B78,'Base de datos'!$A$3:$K$24,5,FALSE),0),""))</f>
        <v/>
      </c>
      <c r="O78" s="6" t="str">
        <f>IF(OR(OR(UPPER(IFERROR(VLOOKUP($B78,'Base de datos'!$A$3:$K$24,11,FALSE),""))="NO",ISNUMBER(SEARCH("no sometida",IFERROR(VLOOKUP($B78,'Base de datos'!$A$3:$K$24,10,FALSE),""))),ISNUMBER(SEARCH("no fiscal",IFERROR(VLOOKUP($B78,'Base de datos'!$A$3:$K$24,10,FALSE),"")))),OR(ISNUMBER(SEARCH("Hach",$B78)),ISNUMBER(SEARCH("Ketamina",$B78))),AND(IFERROR(VLOOKUP($B78,'Base de datos'!$A$3:$K$24,9,FALSE),"")&lt;&gt;"",IFERROR(VLOOKUP($B78,'Base de datos'!$A$3:$K$24,9,FALSE),"")&lt;&gt;0)),"",IFERROR((($E78*$C78/IFERROR(VLOOKUP($B78,'Base de datos'!$A$3:$K$24,3,FALSE),0))*1000)/IFERROR(VLOOKUP($B78,'Base de datos'!$A$3:$K$24,2,FALSE),0),""))</f>
        <v/>
      </c>
    </row>
    <row r="79" spans="1:15" x14ac:dyDescent="0.25">
      <c r="A79" s="4"/>
      <c r="B79" s="4"/>
      <c r="C79" s="5" t="str">
        <f>IFERROR(VLOOKUP($B79,'Base de datos'!$A$3:$K$24,3,FALSE),"")</f>
        <v/>
      </c>
      <c r="D79" s="4" t="str">
        <f t="shared" si="2"/>
        <v/>
      </c>
      <c r="E79" s="6"/>
      <c r="F79" s="7" t="str">
        <f>IF($B79="","",IF(OR(UPPER(IFERROR(VLOOKUP($B79,'Base de datos'!$A$3:$K$24,11,FALSE),""))="NO",ISNUMBER(SEARCH("no sometida",IFERROR(VLOOKUP($B79,'Base de datos'!$A$3:$K$24,10,FALSE),""))),ISNUMBER(SEARCH("no fiscal",IFERROR(VLOOKUP($B79,'Base de datos'!$A$3:$K$24,10,FALSE),"")))),"",IF(OR(OR(ISNUMBER(SEARCH("Hach",$B79)),ISNUMBER(SEARCH("Ketamina",$B79))),AND(IFERROR(VLOOKUP($B79,'Base de datos'!$A$3:$K$24,9,FALSE),"")&lt;&gt;"",IFERROR(VLOOKUP($B79,'Base de datos'!$A$3:$K$24,9,FALSE),"")&lt;&gt;0)),"",IFERROR($M79*VLOOKUP($B79,'Base de datos'!$A$3:$K$24,8,FALSE)/1000,""))))</f>
        <v/>
      </c>
      <c r="G79" s="7" t="str">
        <f>IF($B79="","",IF(OR(UPPER(IFERROR(VLOOKUP($B79,'Base de datos'!$A$3:$K$24,11,FALSE),""))="NO",ISNUMBER(SEARCH("no sometida",IFERROR(VLOOKUP($B79,'Base de datos'!$A$3:$K$24,10,FALSE),""))),ISNUMBER(SEARCH("no fiscal",IFERROR(VLOOKUP($B79,'Base de datos'!$A$3:$K$24,10,FALSE),"")))),"",IFERROR(IF(OR(ISNUMBER(SEARCH("Hach",$B79)),ISNUMBER(SEARCH("Ketamina",$B79))),IF(VLOOKUP($B79,'Base de datos'!$A$3:$K$24,6,FALSE)="","",$E79*VLOOKUP($B79,'Base de datos'!$A$3:$K$24,6,FALSE)),IF(AND(IFERROR(VLOOKUP($B79,'Base de datos'!$A$3:$K$24,9,FALSE),"")&lt;&gt;"",IFERROR(VLOOKUP($B79,'Base de datos'!$A$3:$K$24,9,FALSE),"")&lt;&gt;0),"",IF(VLOOKUP($B79,'Base de datos'!$A$3:$K$24,6,FALSE)="","",$N79*VLOOKUP($B79,'Base de datos'!$A$3:$K$24,6,FALSE)))),"")))</f>
        <v/>
      </c>
      <c r="H79" s="7" t="str">
        <f>IF($B79="","",IF(OR(UPPER(IFERROR(VLOOKUP($B79,'Base de datos'!$A$3:$K$24,11,FALSE),""))="NO",ISNUMBER(SEARCH("no sometida",IFERROR(VLOOKUP($B79,'Base de datos'!$A$3:$K$24,10,FALSE),""))),ISNUMBER(SEARCH("no fiscal",IFERROR(VLOOKUP($B79,'Base de datos'!$A$3:$K$24,10,FALSE),"")))),"",IF(OR(ISNUMBER(SEARCH("Hach",$B79)),ISNUMBER(SEARCH("Ketamina",$B79))),"",IF(AND(IFERROR(VLOOKUP($B79,'Base de datos'!$A$3:$K$24,9,FALSE),"")&lt;&gt;"",IFERROR(VLOOKUP($B79,'Base de datos'!$A$3:$K$24,9,FALSE),"")&lt;&gt;0),$E79*IFERROR(VLOOKUP($B79,'Base de datos'!$A$3:$K$24,9,FALSE),""),IFERROR($O79*VLOOKUP($B79,'Base de datos'!$A$3:$K$24,4,FALSE),"")))))</f>
        <v/>
      </c>
      <c r="I79" s="5" t="str">
        <f>IFERROR(VLOOKUP($B79,'Base de datos'!$A$3:$K$24,7,FALSE),"")</f>
        <v/>
      </c>
      <c r="J79" s="13" t="str">
        <f>IFERROR(VLOOKUP($B79,'Base de datos'!$A$3:$K$24,10,FALSE),"")</f>
        <v/>
      </c>
      <c r="K79" s="6"/>
      <c r="L79" s="4"/>
      <c r="M79" s="6" t="str">
        <f>IF(OR(OR(UPPER(IFERROR(VLOOKUP($B79,'Base de datos'!$A$3:$K$24,11,FALSE),""))="NO",ISNUMBER(SEARCH("no sometida",IFERROR(VLOOKUP($B79,'Base de datos'!$A$3:$K$24,10,FALSE),""))),ISNUMBER(SEARCH("no fiscal",IFERROR(VLOOKUP($B79,'Base de datos'!$A$3:$K$24,10,FALSE),"")))),OR(ISNUMBER(SEARCH("Hach",$B79)),ISNUMBER(SEARCH("Ketamina",$B79))),AND(IFERROR(VLOOKUP($B79,'Base de datos'!$A$3:$K$24,9,FALSE),"")&lt;&gt;"",IFERROR(VLOOKUP($B79,'Base de datos'!$A$3:$K$24,9,FALSE),"")&lt;&gt;0)),"",IFERROR($E79*$C79/$I79,""))</f>
        <v/>
      </c>
      <c r="N79" s="6" t="str">
        <f>IF(OR(OR(UPPER(IFERROR(VLOOKUP($B79,'Base de datos'!$A$3:$K$24,11,FALSE),""))="NO",ISNUMBER(SEARCH("no sometida",IFERROR(VLOOKUP($B79,'Base de datos'!$A$3:$K$24,10,FALSE),""))),ISNUMBER(SEARCH("no fiscal",IFERROR(VLOOKUP($B79,'Base de datos'!$A$3:$K$24,10,FALSE),"")))),OR(ISNUMBER(SEARCH("Hach",$B79)),ISNUMBER(SEARCH("Ketamina",$B79))),AND(IFERROR(VLOOKUP($B79,'Base de datos'!$A$3:$K$24,9,FALSE),"")&lt;&gt;"",IFERROR(VLOOKUP($B79,'Base de datos'!$A$3:$K$24,9,FALSE),"")&lt;&gt;0)),"",IFERROR($E79*$C79/IFERROR(VLOOKUP($B79,'Base de datos'!$A$3:$K$24,5,FALSE),0),""))</f>
        <v/>
      </c>
      <c r="O79" s="6" t="str">
        <f>IF(OR(OR(UPPER(IFERROR(VLOOKUP($B79,'Base de datos'!$A$3:$K$24,11,FALSE),""))="NO",ISNUMBER(SEARCH("no sometida",IFERROR(VLOOKUP($B79,'Base de datos'!$A$3:$K$24,10,FALSE),""))),ISNUMBER(SEARCH("no fiscal",IFERROR(VLOOKUP($B79,'Base de datos'!$A$3:$K$24,10,FALSE),"")))),OR(ISNUMBER(SEARCH("Hach",$B79)),ISNUMBER(SEARCH("Ketamina",$B79))),AND(IFERROR(VLOOKUP($B79,'Base de datos'!$A$3:$K$24,9,FALSE),"")&lt;&gt;"",IFERROR(VLOOKUP($B79,'Base de datos'!$A$3:$K$24,9,FALSE),"")&lt;&gt;0)),"",IFERROR((($E79*$C79/IFERROR(VLOOKUP($B79,'Base de datos'!$A$3:$K$24,3,FALSE),0))*1000)/IFERROR(VLOOKUP($B79,'Base de datos'!$A$3:$K$24,2,FALSE),0),""))</f>
        <v/>
      </c>
    </row>
    <row r="80" spans="1:15" x14ac:dyDescent="0.25">
      <c r="A80" s="4"/>
      <c r="B80" s="4"/>
      <c r="C80" s="5" t="str">
        <f>IFERROR(VLOOKUP($B80,'Base de datos'!$A$3:$K$24,3,FALSE),"")</f>
        <v/>
      </c>
      <c r="D80" s="4" t="str">
        <f t="shared" si="2"/>
        <v/>
      </c>
      <c r="E80" s="6"/>
      <c r="F80" s="7" t="str">
        <f>IF($B80="","",IF(OR(UPPER(IFERROR(VLOOKUP($B80,'Base de datos'!$A$3:$K$24,11,FALSE),""))="NO",ISNUMBER(SEARCH("no sometida",IFERROR(VLOOKUP($B80,'Base de datos'!$A$3:$K$24,10,FALSE),""))),ISNUMBER(SEARCH("no fiscal",IFERROR(VLOOKUP($B80,'Base de datos'!$A$3:$K$24,10,FALSE),"")))),"",IF(OR(OR(ISNUMBER(SEARCH("Hach",$B80)),ISNUMBER(SEARCH("Ketamina",$B80))),AND(IFERROR(VLOOKUP($B80,'Base de datos'!$A$3:$K$24,9,FALSE),"")&lt;&gt;"",IFERROR(VLOOKUP($B80,'Base de datos'!$A$3:$K$24,9,FALSE),"")&lt;&gt;0)),"",IFERROR($M80*VLOOKUP($B80,'Base de datos'!$A$3:$K$24,8,FALSE)/1000,""))))</f>
        <v/>
      </c>
      <c r="G80" s="7" t="str">
        <f>IF($B80="","",IF(OR(UPPER(IFERROR(VLOOKUP($B80,'Base de datos'!$A$3:$K$24,11,FALSE),""))="NO",ISNUMBER(SEARCH("no sometida",IFERROR(VLOOKUP($B80,'Base de datos'!$A$3:$K$24,10,FALSE),""))),ISNUMBER(SEARCH("no fiscal",IFERROR(VLOOKUP($B80,'Base de datos'!$A$3:$K$24,10,FALSE),"")))),"",IFERROR(IF(OR(ISNUMBER(SEARCH("Hach",$B80)),ISNUMBER(SEARCH("Ketamina",$B80))),IF(VLOOKUP($B80,'Base de datos'!$A$3:$K$24,6,FALSE)="","",$E80*VLOOKUP($B80,'Base de datos'!$A$3:$K$24,6,FALSE)),IF(AND(IFERROR(VLOOKUP($B80,'Base de datos'!$A$3:$K$24,9,FALSE),"")&lt;&gt;"",IFERROR(VLOOKUP($B80,'Base de datos'!$A$3:$K$24,9,FALSE),"")&lt;&gt;0),"",IF(VLOOKUP($B80,'Base de datos'!$A$3:$K$24,6,FALSE)="","",$N80*VLOOKUP($B80,'Base de datos'!$A$3:$K$24,6,FALSE)))),"")))</f>
        <v/>
      </c>
      <c r="H80" s="7" t="str">
        <f>IF($B80="","",IF(OR(UPPER(IFERROR(VLOOKUP($B80,'Base de datos'!$A$3:$K$24,11,FALSE),""))="NO",ISNUMBER(SEARCH("no sometida",IFERROR(VLOOKUP($B80,'Base de datos'!$A$3:$K$24,10,FALSE),""))),ISNUMBER(SEARCH("no fiscal",IFERROR(VLOOKUP($B80,'Base de datos'!$A$3:$K$24,10,FALSE),"")))),"",IF(OR(ISNUMBER(SEARCH("Hach",$B80)),ISNUMBER(SEARCH("Ketamina",$B80))),"",IF(AND(IFERROR(VLOOKUP($B80,'Base de datos'!$A$3:$K$24,9,FALSE),"")&lt;&gt;"",IFERROR(VLOOKUP($B80,'Base de datos'!$A$3:$K$24,9,FALSE),"")&lt;&gt;0),$E80*IFERROR(VLOOKUP($B80,'Base de datos'!$A$3:$K$24,9,FALSE),""),IFERROR($O80*VLOOKUP($B80,'Base de datos'!$A$3:$K$24,4,FALSE),"")))))</f>
        <v/>
      </c>
      <c r="I80" s="5" t="str">
        <f>IFERROR(VLOOKUP($B80,'Base de datos'!$A$3:$K$24,7,FALSE),"")</f>
        <v/>
      </c>
      <c r="J80" s="13" t="str">
        <f>IFERROR(VLOOKUP($B80,'Base de datos'!$A$3:$K$24,10,FALSE),"")</f>
        <v/>
      </c>
      <c r="K80" s="6"/>
      <c r="L80" s="4"/>
      <c r="M80" s="6" t="str">
        <f>IF(OR(OR(UPPER(IFERROR(VLOOKUP($B80,'Base de datos'!$A$3:$K$24,11,FALSE),""))="NO",ISNUMBER(SEARCH("no sometida",IFERROR(VLOOKUP($B80,'Base de datos'!$A$3:$K$24,10,FALSE),""))),ISNUMBER(SEARCH("no fiscal",IFERROR(VLOOKUP($B80,'Base de datos'!$A$3:$K$24,10,FALSE),"")))),OR(ISNUMBER(SEARCH("Hach",$B80)),ISNUMBER(SEARCH("Ketamina",$B80))),AND(IFERROR(VLOOKUP($B80,'Base de datos'!$A$3:$K$24,9,FALSE),"")&lt;&gt;"",IFERROR(VLOOKUP($B80,'Base de datos'!$A$3:$K$24,9,FALSE),"")&lt;&gt;0)),"",IFERROR($E80*$C80/$I80,""))</f>
        <v/>
      </c>
      <c r="N80" s="6" t="str">
        <f>IF(OR(OR(UPPER(IFERROR(VLOOKUP($B80,'Base de datos'!$A$3:$K$24,11,FALSE),""))="NO",ISNUMBER(SEARCH("no sometida",IFERROR(VLOOKUP($B80,'Base de datos'!$A$3:$K$24,10,FALSE),""))),ISNUMBER(SEARCH("no fiscal",IFERROR(VLOOKUP($B80,'Base de datos'!$A$3:$K$24,10,FALSE),"")))),OR(ISNUMBER(SEARCH("Hach",$B80)),ISNUMBER(SEARCH("Ketamina",$B80))),AND(IFERROR(VLOOKUP($B80,'Base de datos'!$A$3:$K$24,9,FALSE),"")&lt;&gt;"",IFERROR(VLOOKUP($B80,'Base de datos'!$A$3:$K$24,9,FALSE),"")&lt;&gt;0)),"",IFERROR($E80*$C80/IFERROR(VLOOKUP($B80,'Base de datos'!$A$3:$K$24,5,FALSE),0),""))</f>
        <v/>
      </c>
      <c r="O80" s="6" t="str">
        <f>IF(OR(OR(UPPER(IFERROR(VLOOKUP($B80,'Base de datos'!$A$3:$K$24,11,FALSE),""))="NO",ISNUMBER(SEARCH("no sometida",IFERROR(VLOOKUP($B80,'Base de datos'!$A$3:$K$24,10,FALSE),""))),ISNUMBER(SEARCH("no fiscal",IFERROR(VLOOKUP($B80,'Base de datos'!$A$3:$K$24,10,FALSE),"")))),OR(ISNUMBER(SEARCH("Hach",$B80)),ISNUMBER(SEARCH("Ketamina",$B80))),AND(IFERROR(VLOOKUP($B80,'Base de datos'!$A$3:$K$24,9,FALSE),"")&lt;&gt;"",IFERROR(VLOOKUP($B80,'Base de datos'!$A$3:$K$24,9,FALSE),"")&lt;&gt;0)),"",IFERROR((($E80*$C80/IFERROR(VLOOKUP($B80,'Base de datos'!$A$3:$K$24,3,FALSE),0))*1000)/IFERROR(VLOOKUP($B80,'Base de datos'!$A$3:$K$24,2,FALSE),0),""))</f>
        <v/>
      </c>
    </row>
    <row r="81" spans="1:15" x14ac:dyDescent="0.25">
      <c r="A81" s="4"/>
      <c r="B81" s="4"/>
      <c r="C81" s="5" t="str">
        <f>IFERROR(VLOOKUP($B81,'Base de datos'!$A$3:$K$24,3,FALSE),"")</f>
        <v/>
      </c>
      <c r="D81" s="4" t="str">
        <f t="shared" si="2"/>
        <v/>
      </c>
      <c r="E81" s="6"/>
      <c r="F81" s="7" t="str">
        <f>IF($B81="","",IF(OR(UPPER(IFERROR(VLOOKUP($B81,'Base de datos'!$A$3:$K$24,11,FALSE),""))="NO",ISNUMBER(SEARCH("no sometida",IFERROR(VLOOKUP($B81,'Base de datos'!$A$3:$K$24,10,FALSE),""))),ISNUMBER(SEARCH("no fiscal",IFERROR(VLOOKUP($B81,'Base de datos'!$A$3:$K$24,10,FALSE),"")))),"",IF(OR(OR(ISNUMBER(SEARCH("Hach",$B81)),ISNUMBER(SEARCH("Ketamina",$B81))),AND(IFERROR(VLOOKUP($B81,'Base de datos'!$A$3:$K$24,9,FALSE),"")&lt;&gt;"",IFERROR(VLOOKUP($B81,'Base de datos'!$A$3:$K$24,9,FALSE),"")&lt;&gt;0)),"",IFERROR($M81*VLOOKUP($B81,'Base de datos'!$A$3:$K$24,8,FALSE)/1000,""))))</f>
        <v/>
      </c>
      <c r="G81" s="7" t="str">
        <f>IF($B81="","",IF(OR(UPPER(IFERROR(VLOOKUP($B81,'Base de datos'!$A$3:$K$24,11,FALSE),""))="NO",ISNUMBER(SEARCH("no sometida",IFERROR(VLOOKUP($B81,'Base de datos'!$A$3:$K$24,10,FALSE),""))),ISNUMBER(SEARCH("no fiscal",IFERROR(VLOOKUP($B81,'Base de datos'!$A$3:$K$24,10,FALSE),"")))),"",IFERROR(IF(OR(ISNUMBER(SEARCH("Hach",$B81)),ISNUMBER(SEARCH("Ketamina",$B81))),IF(VLOOKUP($B81,'Base de datos'!$A$3:$K$24,6,FALSE)="","",$E81*VLOOKUP($B81,'Base de datos'!$A$3:$K$24,6,FALSE)),IF(AND(IFERROR(VLOOKUP($B81,'Base de datos'!$A$3:$K$24,9,FALSE),"")&lt;&gt;"",IFERROR(VLOOKUP($B81,'Base de datos'!$A$3:$K$24,9,FALSE),"")&lt;&gt;0),"",IF(VLOOKUP($B81,'Base de datos'!$A$3:$K$24,6,FALSE)="","",$N81*VLOOKUP($B81,'Base de datos'!$A$3:$K$24,6,FALSE)))),"")))</f>
        <v/>
      </c>
      <c r="H81" s="7" t="str">
        <f>IF($B81="","",IF(OR(UPPER(IFERROR(VLOOKUP($B81,'Base de datos'!$A$3:$K$24,11,FALSE),""))="NO",ISNUMBER(SEARCH("no sometida",IFERROR(VLOOKUP($B81,'Base de datos'!$A$3:$K$24,10,FALSE),""))),ISNUMBER(SEARCH("no fiscal",IFERROR(VLOOKUP($B81,'Base de datos'!$A$3:$K$24,10,FALSE),"")))),"",IF(OR(ISNUMBER(SEARCH("Hach",$B81)),ISNUMBER(SEARCH("Ketamina",$B81))),"",IF(AND(IFERROR(VLOOKUP($B81,'Base de datos'!$A$3:$K$24,9,FALSE),"")&lt;&gt;"",IFERROR(VLOOKUP($B81,'Base de datos'!$A$3:$K$24,9,FALSE),"")&lt;&gt;0),$E81*IFERROR(VLOOKUP($B81,'Base de datos'!$A$3:$K$24,9,FALSE),""),IFERROR($O81*VLOOKUP($B81,'Base de datos'!$A$3:$K$24,4,FALSE),"")))))</f>
        <v/>
      </c>
      <c r="I81" s="5" t="str">
        <f>IFERROR(VLOOKUP($B81,'Base de datos'!$A$3:$K$24,7,FALSE),"")</f>
        <v/>
      </c>
      <c r="J81" s="13" t="str">
        <f>IFERROR(VLOOKUP($B81,'Base de datos'!$A$3:$K$24,10,FALSE),"")</f>
        <v/>
      </c>
      <c r="K81" s="6"/>
      <c r="L81" s="4"/>
      <c r="M81" s="6" t="str">
        <f>IF(OR(OR(UPPER(IFERROR(VLOOKUP($B81,'Base de datos'!$A$3:$K$24,11,FALSE),""))="NO",ISNUMBER(SEARCH("no sometida",IFERROR(VLOOKUP($B81,'Base de datos'!$A$3:$K$24,10,FALSE),""))),ISNUMBER(SEARCH("no fiscal",IFERROR(VLOOKUP($B81,'Base de datos'!$A$3:$K$24,10,FALSE),"")))),OR(ISNUMBER(SEARCH("Hach",$B81)),ISNUMBER(SEARCH("Ketamina",$B81))),AND(IFERROR(VLOOKUP($B81,'Base de datos'!$A$3:$K$24,9,FALSE),"")&lt;&gt;"",IFERROR(VLOOKUP($B81,'Base de datos'!$A$3:$K$24,9,FALSE),"")&lt;&gt;0)),"",IFERROR($E81*$C81/$I81,""))</f>
        <v/>
      </c>
      <c r="N81" s="6" t="str">
        <f>IF(OR(OR(UPPER(IFERROR(VLOOKUP($B81,'Base de datos'!$A$3:$K$24,11,FALSE),""))="NO",ISNUMBER(SEARCH("no sometida",IFERROR(VLOOKUP($B81,'Base de datos'!$A$3:$K$24,10,FALSE),""))),ISNUMBER(SEARCH("no fiscal",IFERROR(VLOOKUP($B81,'Base de datos'!$A$3:$K$24,10,FALSE),"")))),OR(ISNUMBER(SEARCH("Hach",$B81)),ISNUMBER(SEARCH("Ketamina",$B81))),AND(IFERROR(VLOOKUP($B81,'Base de datos'!$A$3:$K$24,9,FALSE),"")&lt;&gt;"",IFERROR(VLOOKUP($B81,'Base de datos'!$A$3:$K$24,9,FALSE),"")&lt;&gt;0)),"",IFERROR($E81*$C81/IFERROR(VLOOKUP($B81,'Base de datos'!$A$3:$K$24,5,FALSE),0),""))</f>
        <v/>
      </c>
      <c r="O81" s="6" t="str">
        <f>IF(OR(OR(UPPER(IFERROR(VLOOKUP($B81,'Base de datos'!$A$3:$K$24,11,FALSE),""))="NO",ISNUMBER(SEARCH("no sometida",IFERROR(VLOOKUP($B81,'Base de datos'!$A$3:$K$24,10,FALSE),""))),ISNUMBER(SEARCH("no fiscal",IFERROR(VLOOKUP($B81,'Base de datos'!$A$3:$K$24,10,FALSE),"")))),OR(ISNUMBER(SEARCH("Hach",$B81)),ISNUMBER(SEARCH("Ketamina",$B81))),AND(IFERROR(VLOOKUP($B81,'Base de datos'!$A$3:$K$24,9,FALSE),"")&lt;&gt;"",IFERROR(VLOOKUP($B81,'Base de datos'!$A$3:$K$24,9,FALSE),"")&lt;&gt;0)),"",IFERROR((($E81*$C81/IFERROR(VLOOKUP($B81,'Base de datos'!$A$3:$K$24,3,FALSE),0))*1000)/IFERROR(VLOOKUP($B81,'Base de datos'!$A$3:$K$24,2,FALSE),0),""))</f>
        <v/>
      </c>
    </row>
    <row r="82" spans="1:15" x14ac:dyDescent="0.25">
      <c r="A82" s="4"/>
      <c r="B82" s="4"/>
      <c r="C82" s="5" t="str">
        <f>IFERROR(VLOOKUP($B82,'Base de datos'!$A$3:$K$24,3,FALSE),"")</f>
        <v/>
      </c>
      <c r="D82" s="4" t="str">
        <f t="shared" si="2"/>
        <v/>
      </c>
      <c r="E82" s="6"/>
      <c r="F82" s="7" t="str">
        <f>IF($B82="","",IF(OR(UPPER(IFERROR(VLOOKUP($B82,'Base de datos'!$A$3:$K$24,11,FALSE),""))="NO",ISNUMBER(SEARCH("no sometida",IFERROR(VLOOKUP($B82,'Base de datos'!$A$3:$K$24,10,FALSE),""))),ISNUMBER(SEARCH("no fiscal",IFERROR(VLOOKUP($B82,'Base de datos'!$A$3:$K$24,10,FALSE),"")))),"",IF(OR(OR(ISNUMBER(SEARCH("Hach",$B82)),ISNUMBER(SEARCH("Ketamina",$B82))),AND(IFERROR(VLOOKUP($B82,'Base de datos'!$A$3:$K$24,9,FALSE),"")&lt;&gt;"",IFERROR(VLOOKUP($B82,'Base de datos'!$A$3:$K$24,9,FALSE),"")&lt;&gt;0)),"",IFERROR($M82*VLOOKUP($B82,'Base de datos'!$A$3:$K$24,8,FALSE)/1000,""))))</f>
        <v/>
      </c>
      <c r="G82" s="7" t="str">
        <f>IF($B82="","",IF(OR(UPPER(IFERROR(VLOOKUP($B82,'Base de datos'!$A$3:$K$24,11,FALSE),""))="NO",ISNUMBER(SEARCH("no sometida",IFERROR(VLOOKUP($B82,'Base de datos'!$A$3:$K$24,10,FALSE),""))),ISNUMBER(SEARCH("no fiscal",IFERROR(VLOOKUP($B82,'Base de datos'!$A$3:$K$24,10,FALSE),"")))),"",IFERROR(IF(OR(ISNUMBER(SEARCH("Hach",$B82)),ISNUMBER(SEARCH("Ketamina",$B82))),IF(VLOOKUP($B82,'Base de datos'!$A$3:$K$24,6,FALSE)="","",$E82*VLOOKUP($B82,'Base de datos'!$A$3:$K$24,6,FALSE)),IF(AND(IFERROR(VLOOKUP($B82,'Base de datos'!$A$3:$K$24,9,FALSE),"")&lt;&gt;"",IFERROR(VLOOKUP($B82,'Base de datos'!$A$3:$K$24,9,FALSE),"")&lt;&gt;0),"",IF(VLOOKUP($B82,'Base de datos'!$A$3:$K$24,6,FALSE)="","",$N82*VLOOKUP($B82,'Base de datos'!$A$3:$K$24,6,FALSE)))),"")))</f>
        <v/>
      </c>
      <c r="H82" s="7" t="str">
        <f>IF($B82="","",IF(OR(UPPER(IFERROR(VLOOKUP($B82,'Base de datos'!$A$3:$K$24,11,FALSE),""))="NO",ISNUMBER(SEARCH("no sometida",IFERROR(VLOOKUP($B82,'Base de datos'!$A$3:$K$24,10,FALSE),""))),ISNUMBER(SEARCH("no fiscal",IFERROR(VLOOKUP($B82,'Base de datos'!$A$3:$K$24,10,FALSE),"")))),"",IF(OR(ISNUMBER(SEARCH("Hach",$B82)),ISNUMBER(SEARCH("Ketamina",$B82))),"",IF(AND(IFERROR(VLOOKUP($B82,'Base de datos'!$A$3:$K$24,9,FALSE),"")&lt;&gt;"",IFERROR(VLOOKUP($B82,'Base de datos'!$A$3:$K$24,9,FALSE),"")&lt;&gt;0),$E82*IFERROR(VLOOKUP($B82,'Base de datos'!$A$3:$K$24,9,FALSE),""),IFERROR($O82*VLOOKUP($B82,'Base de datos'!$A$3:$K$24,4,FALSE),"")))))</f>
        <v/>
      </c>
      <c r="I82" s="5" t="str">
        <f>IFERROR(VLOOKUP($B82,'Base de datos'!$A$3:$K$24,7,FALSE),"")</f>
        <v/>
      </c>
      <c r="J82" s="13" t="str">
        <f>IFERROR(VLOOKUP($B82,'Base de datos'!$A$3:$K$24,10,FALSE),"")</f>
        <v/>
      </c>
      <c r="K82" s="6"/>
      <c r="L82" s="4"/>
      <c r="M82" s="6" t="str">
        <f>IF(OR(OR(UPPER(IFERROR(VLOOKUP($B82,'Base de datos'!$A$3:$K$24,11,FALSE),""))="NO",ISNUMBER(SEARCH("no sometida",IFERROR(VLOOKUP($B82,'Base de datos'!$A$3:$K$24,10,FALSE),""))),ISNUMBER(SEARCH("no fiscal",IFERROR(VLOOKUP($B82,'Base de datos'!$A$3:$K$24,10,FALSE),"")))),OR(ISNUMBER(SEARCH("Hach",$B82)),ISNUMBER(SEARCH("Ketamina",$B82))),AND(IFERROR(VLOOKUP($B82,'Base de datos'!$A$3:$K$24,9,FALSE),"")&lt;&gt;"",IFERROR(VLOOKUP($B82,'Base de datos'!$A$3:$K$24,9,FALSE),"")&lt;&gt;0)),"",IFERROR($E82*$C82/$I82,""))</f>
        <v/>
      </c>
      <c r="N82" s="6" t="str">
        <f>IF(OR(OR(UPPER(IFERROR(VLOOKUP($B82,'Base de datos'!$A$3:$K$24,11,FALSE),""))="NO",ISNUMBER(SEARCH("no sometida",IFERROR(VLOOKUP($B82,'Base de datos'!$A$3:$K$24,10,FALSE),""))),ISNUMBER(SEARCH("no fiscal",IFERROR(VLOOKUP($B82,'Base de datos'!$A$3:$K$24,10,FALSE),"")))),OR(ISNUMBER(SEARCH("Hach",$B82)),ISNUMBER(SEARCH("Ketamina",$B82))),AND(IFERROR(VLOOKUP($B82,'Base de datos'!$A$3:$K$24,9,FALSE),"")&lt;&gt;"",IFERROR(VLOOKUP($B82,'Base de datos'!$A$3:$K$24,9,FALSE),"")&lt;&gt;0)),"",IFERROR($E82*$C82/IFERROR(VLOOKUP($B82,'Base de datos'!$A$3:$K$24,5,FALSE),0),""))</f>
        <v/>
      </c>
      <c r="O82" s="6" t="str">
        <f>IF(OR(OR(UPPER(IFERROR(VLOOKUP($B82,'Base de datos'!$A$3:$K$24,11,FALSE),""))="NO",ISNUMBER(SEARCH("no sometida",IFERROR(VLOOKUP($B82,'Base de datos'!$A$3:$K$24,10,FALSE),""))),ISNUMBER(SEARCH("no fiscal",IFERROR(VLOOKUP($B82,'Base de datos'!$A$3:$K$24,10,FALSE),"")))),OR(ISNUMBER(SEARCH("Hach",$B82)),ISNUMBER(SEARCH("Ketamina",$B82))),AND(IFERROR(VLOOKUP($B82,'Base de datos'!$A$3:$K$24,9,FALSE),"")&lt;&gt;"",IFERROR(VLOOKUP($B82,'Base de datos'!$A$3:$K$24,9,FALSE),"")&lt;&gt;0)),"",IFERROR((($E82*$C82/IFERROR(VLOOKUP($B82,'Base de datos'!$A$3:$K$24,3,FALSE),0))*1000)/IFERROR(VLOOKUP($B82,'Base de datos'!$A$3:$K$24,2,FALSE),0),""))</f>
        <v/>
      </c>
    </row>
    <row r="83" spans="1:15" x14ac:dyDescent="0.25">
      <c r="A83" s="4"/>
      <c r="B83" s="4"/>
      <c r="C83" s="5" t="str">
        <f>IFERROR(VLOOKUP($B83,'Base de datos'!$A$3:$K$24,3,FALSE),"")</f>
        <v/>
      </c>
      <c r="D83" s="4" t="str">
        <f t="shared" si="2"/>
        <v/>
      </c>
      <c r="E83" s="6"/>
      <c r="F83" s="7" t="str">
        <f>IF($B83="","",IF(OR(UPPER(IFERROR(VLOOKUP($B83,'Base de datos'!$A$3:$K$24,11,FALSE),""))="NO",ISNUMBER(SEARCH("no sometida",IFERROR(VLOOKUP($B83,'Base de datos'!$A$3:$K$24,10,FALSE),""))),ISNUMBER(SEARCH("no fiscal",IFERROR(VLOOKUP($B83,'Base de datos'!$A$3:$K$24,10,FALSE),"")))),"",IF(OR(OR(ISNUMBER(SEARCH("Hach",$B83)),ISNUMBER(SEARCH("Ketamina",$B83))),AND(IFERROR(VLOOKUP($B83,'Base de datos'!$A$3:$K$24,9,FALSE),"")&lt;&gt;"",IFERROR(VLOOKUP($B83,'Base de datos'!$A$3:$K$24,9,FALSE),"")&lt;&gt;0)),"",IFERROR($M83*VLOOKUP($B83,'Base de datos'!$A$3:$K$24,8,FALSE)/1000,""))))</f>
        <v/>
      </c>
      <c r="G83" s="7" t="str">
        <f>IF($B83="","",IF(OR(UPPER(IFERROR(VLOOKUP($B83,'Base de datos'!$A$3:$K$24,11,FALSE),""))="NO",ISNUMBER(SEARCH("no sometida",IFERROR(VLOOKUP($B83,'Base de datos'!$A$3:$K$24,10,FALSE),""))),ISNUMBER(SEARCH("no fiscal",IFERROR(VLOOKUP($B83,'Base de datos'!$A$3:$K$24,10,FALSE),"")))),"",IFERROR(IF(OR(ISNUMBER(SEARCH("Hach",$B83)),ISNUMBER(SEARCH("Ketamina",$B83))),IF(VLOOKUP($B83,'Base de datos'!$A$3:$K$24,6,FALSE)="","",$E83*VLOOKUP($B83,'Base de datos'!$A$3:$K$24,6,FALSE)),IF(AND(IFERROR(VLOOKUP($B83,'Base de datos'!$A$3:$K$24,9,FALSE),"")&lt;&gt;"",IFERROR(VLOOKUP($B83,'Base de datos'!$A$3:$K$24,9,FALSE),"")&lt;&gt;0),"",IF(VLOOKUP($B83,'Base de datos'!$A$3:$K$24,6,FALSE)="","",$N83*VLOOKUP($B83,'Base de datos'!$A$3:$K$24,6,FALSE)))),"")))</f>
        <v/>
      </c>
      <c r="H83" s="7" t="str">
        <f>IF($B83="","",IF(OR(UPPER(IFERROR(VLOOKUP($B83,'Base de datos'!$A$3:$K$24,11,FALSE),""))="NO",ISNUMBER(SEARCH("no sometida",IFERROR(VLOOKUP($B83,'Base de datos'!$A$3:$K$24,10,FALSE),""))),ISNUMBER(SEARCH("no fiscal",IFERROR(VLOOKUP($B83,'Base de datos'!$A$3:$K$24,10,FALSE),"")))),"",IF(OR(ISNUMBER(SEARCH("Hach",$B83)),ISNUMBER(SEARCH("Ketamina",$B83))),"",IF(AND(IFERROR(VLOOKUP($B83,'Base de datos'!$A$3:$K$24,9,FALSE),"")&lt;&gt;"",IFERROR(VLOOKUP($B83,'Base de datos'!$A$3:$K$24,9,FALSE),"")&lt;&gt;0),$E83*IFERROR(VLOOKUP($B83,'Base de datos'!$A$3:$K$24,9,FALSE),""),IFERROR($O83*VLOOKUP($B83,'Base de datos'!$A$3:$K$24,4,FALSE),"")))))</f>
        <v/>
      </c>
      <c r="I83" s="5" t="str">
        <f>IFERROR(VLOOKUP($B83,'Base de datos'!$A$3:$K$24,7,FALSE),"")</f>
        <v/>
      </c>
      <c r="J83" s="13" t="str">
        <f>IFERROR(VLOOKUP($B83,'Base de datos'!$A$3:$K$24,10,FALSE),"")</f>
        <v/>
      </c>
      <c r="K83" s="6"/>
      <c r="L83" s="4"/>
      <c r="M83" s="6" t="str">
        <f>IF(OR(OR(UPPER(IFERROR(VLOOKUP($B83,'Base de datos'!$A$3:$K$24,11,FALSE),""))="NO",ISNUMBER(SEARCH("no sometida",IFERROR(VLOOKUP($B83,'Base de datos'!$A$3:$K$24,10,FALSE),""))),ISNUMBER(SEARCH("no fiscal",IFERROR(VLOOKUP($B83,'Base de datos'!$A$3:$K$24,10,FALSE),"")))),OR(ISNUMBER(SEARCH("Hach",$B83)),ISNUMBER(SEARCH("Ketamina",$B83))),AND(IFERROR(VLOOKUP($B83,'Base de datos'!$A$3:$K$24,9,FALSE),"")&lt;&gt;"",IFERROR(VLOOKUP($B83,'Base de datos'!$A$3:$K$24,9,FALSE),"")&lt;&gt;0)),"",IFERROR($E83*$C83/$I83,""))</f>
        <v/>
      </c>
      <c r="N83" s="6" t="str">
        <f>IF(OR(OR(UPPER(IFERROR(VLOOKUP($B83,'Base de datos'!$A$3:$K$24,11,FALSE),""))="NO",ISNUMBER(SEARCH("no sometida",IFERROR(VLOOKUP($B83,'Base de datos'!$A$3:$K$24,10,FALSE),""))),ISNUMBER(SEARCH("no fiscal",IFERROR(VLOOKUP($B83,'Base de datos'!$A$3:$K$24,10,FALSE),"")))),OR(ISNUMBER(SEARCH("Hach",$B83)),ISNUMBER(SEARCH("Ketamina",$B83))),AND(IFERROR(VLOOKUP($B83,'Base de datos'!$A$3:$K$24,9,FALSE),"")&lt;&gt;"",IFERROR(VLOOKUP($B83,'Base de datos'!$A$3:$K$24,9,FALSE),"")&lt;&gt;0)),"",IFERROR($E83*$C83/IFERROR(VLOOKUP($B83,'Base de datos'!$A$3:$K$24,5,FALSE),0),""))</f>
        <v/>
      </c>
      <c r="O83" s="6" t="str">
        <f>IF(OR(OR(UPPER(IFERROR(VLOOKUP($B83,'Base de datos'!$A$3:$K$24,11,FALSE),""))="NO",ISNUMBER(SEARCH("no sometida",IFERROR(VLOOKUP($B83,'Base de datos'!$A$3:$K$24,10,FALSE),""))),ISNUMBER(SEARCH("no fiscal",IFERROR(VLOOKUP($B83,'Base de datos'!$A$3:$K$24,10,FALSE),"")))),OR(ISNUMBER(SEARCH("Hach",$B83)),ISNUMBER(SEARCH("Ketamina",$B83))),AND(IFERROR(VLOOKUP($B83,'Base de datos'!$A$3:$K$24,9,FALSE),"")&lt;&gt;"",IFERROR(VLOOKUP($B83,'Base de datos'!$A$3:$K$24,9,FALSE),"")&lt;&gt;0)),"",IFERROR((($E83*$C83/IFERROR(VLOOKUP($B83,'Base de datos'!$A$3:$K$24,3,FALSE),0))*1000)/IFERROR(VLOOKUP($B83,'Base de datos'!$A$3:$K$24,2,FALSE),0),""))</f>
        <v/>
      </c>
    </row>
    <row r="84" spans="1:15" x14ac:dyDescent="0.25">
      <c r="A84" s="4"/>
      <c r="B84" s="4"/>
      <c r="C84" s="5" t="str">
        <f>IFERROR(VLOOKUP($B84,'Base de datos'!$A$3:$K$24,3,FALSE),"")</f>
        <v/>
      </c>
      <c r="D84" s="4" t="str">
        <f t="shared" si="2"/>
        <v/>
      </c>
      <c r="E84" s="6"/>
      <c r="F84" s="7" t="str">
        <f>IF($B84="","",IF(OR(UPPER(IFERROR(VLOOKUP($B84,'Base de datos'!$A$3:$K$24,11,FALSE),""))="NO",ISNUMBER(SEARCH("no sometida",IFERROR(VLOOKUP($B84,'Base de datos'!$A$3:$K$24,10,FALSE),""))),ISNUMBER(SEARCH("no fiscal",IFERROR(VLOOKUP($B84,'Base de datos'!$A$3:$K$24,10,FALSE),"")))),"",IF(OR(OR(ISNUMBER(SEARCH("Hach",$B84)),ISNUMBER(SEARCH("Ketamina",$B84))),AND(IFERROR(VLOOKUP($B84,'Base de datos'!$A$3:$K$24,9,FALSE),"")&lt;&gt;"",IFERROR(VLOOKUP($B84,'Base de datos'!$A$3:$K$24,9,FALSE),"")&lt;&gt;0)),"",IFERROR($M84*VLOOKUP($B84,'Base de datos'!$A$3:$K$24,8,FALSE)/1000,""))))</f>
        <v/>
      </c>
      <c r="G84" s="7" t="str">
        <f>IF($B84="","",IF(OR(UPPER(IFERROR(VLOOKUP($B84,'Base de datos'!$A$3:$K$24,11,FALSE),""))="NO",ISNUMBER(SEARCH("no sometida",IFERROR(VLOOKUP($B84,'Base de datos'!$A$3:$K$24,10,FALSE),""))),ISNUMBER(SEARCH("no fiscal",IFERROR(VLOOKUP($B84,'Base de datos'!$A$3:$K$24,10,FALSE),"")))),"",IFERROR(IF(OR(ISNUMBER(SEARCH("Hach",$B84)),ISNUMBER(SEARCH("Ketamina",$B84))),IF(VLOOKUP($B84,'Base de datos'!$A$3:$K$24,6,FALSE)="","",$E84*VLOOKUP($B84,'Base de datos'!$A$3:$K$24,6,FALSE)),IF(AND(IFERROR(VLOOKUP($B84,'Base de datos'!$A$3:$K$24,9,FALSE),"")&lt;&gt;"",IFERROR(VLOOKUP($B84,'Base de datos'!$A$3:$K$24,9,FALSE),"")&lt;&gt;0),"",IF(VLOOKUP($B84,'Base de datos'!$A$3:$K$24,6,FALSE)="","",$N84*VLOOKUP($B84,'Base de datos'!$A$3:$K$24,6,FALSE)))),"")))</f>
        <v/>
      </c>
      <c r="H84" s="7" t="str">
        <f>IF($B84="","",IF(OR(UPPER(IFERROR(VLOOKUP($B84,'Base de datos'!$A$3:$K$24,11,FALSE),""))="NO",ISNUMBER(SEARCH("no sometida",IFERROR(VLOOKUP($B84,'Base de datos'!$A$3:$K$24,10,FALSE),""))),ISNUMBER(SEARCH("no fiscal",IFERROR(VLOOKUP($B84,'Base de datos'!$A$3:$K$24,10,FALSE),"")))),"",IF(OR(ISNUMBER(SEARCH("Hach",$B84)),ISNUMBER(SEARCH("Ketamina",$B84))),"",IF(AND(IFERROR(VLOOKUP($B84,'Base de datos'!$A$3:$K$24,9,FALSE),"")&lt;&gt;"",IFERROR(VLOOKUP($B84,'Base de datos'!$A$3:$K$24,9,FALSE),"")&lt;&gt;0),$E84*IFERROR(VLOOKUP($B84,'Base de datos'!$A$3:$K$24,9,FALSE),""),IFERROR($O84*VLOOKUP($B84,'Base de datos'!$A$3:$K$24,4,FALSE),"")))))</f>
        <v/>
      </c>
      <c r="I84" s="5" t="str">
        <f>IFERROR(VLOOKUP($B84,'Base de datos'!$A$3:$K$24,7,FALSE),"")</f>
        <v/>
      </c>
      <c r="J84" s="13" t="str">
        <f>IFERROR(VLOOKUP($B84,'Base de datos'!$A$3:$K$24,10,FALSE),"")</f>
        <v/>
      </c>
      <c r="K84" s="6"/>
      <c r="L84" s="4"/>
      <c r="M84" s="6" t="str">
        <f>IF(OR(OR(UPPER(IFERROR(VLOOKUP($B84,'Base de datos'!$A$3:$K$24,11,FALSE),""))="NO",ISNUMBER(SEARCH("no sometida",IFERROR(VLOOKUP($B84,'Base de datos'!$A$3:$K$24,10,FALSE),""))),ISNUMBER(SEARCH("no fiscal",IFERROR(VLOOKUP($B84,'Base de datos'!$A$3:$K$24,10,FALSE),"")))),OR(ISNUMBER(SEARCH("Hach",$B84)),ISNUMBER(SEARCH("Ketamina",$B84))),AND(IFERROR(VLOOKUP($B84,'Base de datos'!$A$3:$K$24,9,FALSE),"")&lt;&gt;"",IFERROR(VLOOKUP($B84,'Base de datos'!$A$3:$K$24,9,FALSE),"")&lt;&gt;0)),"",IFERROR($E84*$C84/$I84,""))</f>
        <v/>
      </c>
      <c r="N84" s="6" t="str">
        <f>IF(OR(OR(UPPER(IFERROR(VLOOKUP($B84,'Base de datos'!$A$3:$K$24,11,FALSE),""))="NO",ISNUMBER(SEARCH("no sometida",IFERROR(VLOOKUP($B84,'Base de datos'!$A$3:$K$24,10,FALSE),""))),ISNUMBER(SEARCH("no fiscal",IFERROR(VLOOKUP($B84,'Base de datos'!$A$3:$K$24,10,FALSE),"")))),OR(ISNUMBER(SEARCH("Hach",$B84)),ISNUMBER(SEARCH("Ketamina",$B84))),AND(IFERROR(VLOOKUP($B84,'Base de datos'!$A$3:$K$24,9,FALSE),"")&lt;&gt;"",IFERROR(VLOOKUP($B84,'Base de datos'!$A$3:$K$24,9,FALSE),"")&lt;&gt;0)),"",IFERROR($E84*$C84/IFERROR(VLOOKUP($B84,'Base de datos'!$A$3:$K$24,5,FALSE),0),""))</f>
        <v/>
      </c>
      <c r="O84" s="6" t="str">
        <f>IF(OR(OR(UPPER(IFERROR(VLOOKUP($B84,'Base de datos'!$A$3:$K$24,11,FALSE),""))="NO",ISNUMBER(SEARCH("no sometida",IFERROR(VLOOKUP($B84,'Base de datos'!$A$3:$K$24,10,FALSE),""))),ISNUMBER(SEARCH("no fiscal",IFERROR(VLOOKUP($B84,'Base de datos'!$A$3:$K$24,10,FALSE),"")))),OR(ISNUMBER(SEARCH("Hach",$B84)),ISNUMBER(SEARCH("Ketamina",$B84))),AND(IFERROR(VLOOKUP($B84,'Base de datos'!$A$3:$K$24,9,FALSE),"")&lt;&gt;"",IFERROR(VLOOKUP($B84,'Base de datos'!$A$3:$K$24,9,FALSE),"")&lt;&gt;0)),"",IFERROR((($E84*$C84/IFERROR(VLOOKUP($B84,'Base de datos'!$A$3:$K$24,3,FALSE),0))*1000)/IFERROR(VLOOKUP($B84,'Base de datos'!$A$3:$K$24,2,FALSE),0),""))</f>
        <v/>
      </c>
    </row>
    <row r="85" spans="1:15" x14ac:dyDescent="0.25">
      <c r="A85" s="4"/>
      <c r="B85" s="4"/>
      <c r="C85" s="5" t="str">
        <f>IFERROR(VLOOKUP($B85,'Base de datos'!$A$3:$K$24,3,FALSE),"")</f>
        <v/>
      </c>
      <c r="D85" s="4" t="str">
        <f t="shared" si="2"/>
        <v/>
      </c>
      <c r="E85" s="6"/>
      <c r="F85" s="7" t="str">
        <f>IF($B85="","",IF(OR(UPPER(IFERROR(VLOOKUP($B85,'Base de datos'!$A$3:$K$24,11,FALSE),""))="NO",ISNUMBER(SEARCH("no sometida",IFERROR(VLOOKUP($B85,'Base de datos'!$A$3:$K$24,10,FALSE),""))),ISNUMBER(SEARCH("no fiscal",IFERROR(VLOOKUP($B85,'Base de datos'!$A$3:$K$24,10,FALSE),"")))),"",IF(OR(OR(ISNUMBER(SEARCH("Hach",$B85)),ISNUMBER(SEARCH("Ketamina",$B85))),AND(IFERROR(VLOOKUP($B85,'Base de datos'!$A$3:$K$24,9,FALSE),"")&lt;&gt;"",IFERROR(VLOOKUP($B85,'Base de datos'!$A$3:$K$24,9,FALSE),"")&lt;&gt;0)),"",IFERROR($M85*VLOOKUP($B85,'Base de datos'!$A$3:$K$24,8,FALSE)/1000,""))))</f>
        <v/>
      </c>
      <c r="G85" s="7" t="str">
        <f>IF($B85="","",IF(OR(UPPER(IFERROR(VLOOKUP($B85,'Base de datos'!$A$3:$K$24,11,FALSE),""))="NO",ISNUMBER(SEARCH("no sometida",IFERROR(VLOOKUP($B85,'Base de datos'!$A$3:$K$24,10,FALSE),""))),ISNUMBER(SEARCH("no fiscal",IFERROR(VLOOKUP($B85,'Base de datos'!$A$3:$K$24,10,FALSE),"")))),"",IFERROR(IF(OR(ISNUMBER(SEARCH("Hach",$B85)),ISNUMBER(SEARCH("Ketamina",$B85))),IF(VLOOKUP($B85,'Base de datos'!$A$3:$K$24,6,FALSE)="","",$E85*VLOOKUP($B85,'Base de datos'!$A$3:$K$24,6,FALSE)),IF(AND(IFERROR(VLOOKUP($B85,'Base de datos'!$A$3:$K$24,9,FALSE),"")&lt;&gt;"",IFERROR(VLOOKUP($B85,'Base de datos'!$A$3:$K$24,9,FALSE),"")&lt;&gt;0),"",IF(VLOOKUP($B85,'Base de datos'!$A$3:$K$24,6,FALSE)="","",$N85*VLOOKUP($B85,'Base de datos'!$A$3:$K$24,6,FALSE)))),"")))</f>
        <v/>
      </c>
      <c r="H85" s="7" t="str">
        <f>IF($B85="","",IF(OR(UPPER(IFERROR(VLOOKUP($B85,'Base de datos'!$A$3:$K$24,11,FALSE),""))="NO",ISNUMBER(SEARCH("no sometida",IFERROR(VLOOKUP($B85,'Base de datos'!$A$3:$K$24,10,FALSE),""))),ISNUMBER(SEARCH("no fiscal",IFERROR(VLOOKUP($B85,'Base de datos'!$A$3:$K$24,10,FALSE),"")))),"",IF(OR(ISNUMBER(SEARCH("Hach",$B85)),ISNUMBER(SEARCH("Ketamina",$B85))),"",IF(AND(IFERROR(VLOOKUP($B85,'Base de datos'!$A$3:$K$24,9,FALSE),"")&lt;&gt;"",IFERROR(VLOOKUP($B85,'Base de datos'!$A$3:$K$24,9,FALSE),"")&lt;&gt;0),$E85*IFERROR(VLOOKUP($B85,'Base de datos'!$A$3:$K$24,9,FALSE),""),IFERROR($O85*VLOOKUP($B85,'Base de datos'!$A$3:$K$24,4,FALSE),"")))))</f>
        <v/>
      </c>
      <c r="I85" s="5" t="str">
        <f>IFERROR(VLOOKUP($B85,'Base de datos'!$A$3:$K$24,7,FALSE),"")</f>
        <v/>
      </c>
      <c r="J85" s="13" t="str">
        <f>IFERROR(VLOOKUP($B85,'Base de datos'!$A$3:$K$24,10,FALSE),"")</f>
        <v/>
      </c>
      <c r="K85" s="6"/>
      <c r="L85" s="4"/>
      <c r="M85" s="6" t="str">
        <f>IF(OR(OR(UPPER(IFERROR(VLOOKUP($B85,'Base de datos'!$A$3:$K$24,11,FALSE),""))="NO",ISNUMBER(SEARCH("no sometida",IFERROR(VLOOKUP($B85,'Base de datos'!$A$3:$K$24,10,FALSE),""))),ISNUMBER(SEARCH("no fiscal",IFERROR(VLOOKUP($B85,'Base de datos'!$A$3:$K$24,10,FALSE),"")))),OR(ISNUMBER(SEARCH("Hach",$B85)),ISNUMBER(SEARCH("Ketamina",$B85))),AND(IFERROR(VLOOKUP($B85,'Base de datos'!$A$3:$K$24,9,FALSE),"")&lt;&gt;"",IFERROR(VLOOKUP($B85,'Base de datos'!$A$3:$K$24,9,FALSE),"")&lt;&gt;0)),"",IFERROR($E85*$C85/$I85,""))</f>
        <v/>
      </c>
      <c r="N85" s="6" t="str">
        <f>IF(OR(OR(UPPER(IFERROR(VLOOKUP($B85,'Base de datos'!$A$3:$K$24,11,FALSE),""))="NO",ISNUMBER(SEARCH("no sometida",IFERROR(VLOOKUP($B85,'Base de datos'!$A$3:$K$24,10,FALSE),""))),ISNUMBER(SEARCH("no fiscal",IFERROR(VLOOKUP($B85,'Base de datos'!$A$3:$K$24,10,FALSE),"")))),OR(ISNUMBER(SEARCH("Hach",$B85)),ISNUMBER(SEARCH("Ketamina",$B85))),AND(IFERROR(VLOOKUP($B85,'Base de datos'!$A$3:$K$24,9,FALSE),"")&lt;&gt;"",IFERROR(VLOOKUP($B85,'Base de datos'!$A$3:$K$24,9,FALSE),"")&lt;&gt;0)),"",IFERROR($E85*$C85/IFERROR(VLOOKUP($B85,'Base de datos'!$A$3:$K$24,5,FALSE),0),""))</f>
        <v/>
      </c>
      <c r="O85" s="6" t="str">
        <f>IF(OR(OR(UPPER(IFERROR(VLOOKUP($B85,'Base de datos'!$A$3:$K$24,11,FALSE),""))="NO",ISNUMBER(SEARCH("no sometida",IFERROR(VLOOKUP($B85,'Base de datos'!$A$3:$K$24,10,FALSE),""))),ISNUMBER(SEARCH("no fiscal",IFERROR(VLOOKUP($B85,'Base de datos'!$A$3:$K$24,10,FALSE),"")))),OR(ISNUMBER(SEARCH("Hach",$B85)),ISNUMBER(SEARCH("Ketamina",$B85))),AND(IFERROR(VLOOKUP($B85,'Base de datos'!$A$3:$K$24,9,FALSE),"")&lt;&gt;"",IFERROR(VLOOKUP($B85,'Base de datos'!$A$3:$K$24,9,FALSE),"")&lt;&gt;0)),"",IFERROR((($E85*$C85/IFERROR(VLOOKUP($B85,'Base de datos'!$A$3:$K$24,3,FALSE),0))*1000)/IFERROR(VLOOKUP($B85,'Base de datos'!$A$3:$K$24,2,FALSE),0),""))</f>
        <v/>
      </c>
    </row>
    <row r="86" spans="1:15" x14ac:dyDescent="0.25">
      <c r="A86" s="4"/>
      <c r="B86" s="4"/>
      <c r="C86" s="5" t="str">
        <f>IFERROR(VLOOKUP($B86,'Base de datos'!$A$3:$K$24,3,FALSE),"")</f>
        <v/>
      </c>
      <c r="D86" s="4" t="str">
        <f t="shared" si="2"/>
        <v/>
      </c>
      <c r="E86" s="6"/>
      <c r="F86" s="7" t="str">
        <f>IF($B86="","",IF(OR(UPPER(IFERROR(VLOOKUP($B86,'Base de datos'!$A$3:$K$24,11,FALSE),""))="NO",ISNUMBER(SEARCH("no sometida",IFERROR(VLOOKUP($B86,'Base de datos'!$A$3:$K$24,10,FALSE),""))),ISNUMBER(SEARCH("no fiscal",IFERROR(VLOOKUP($B86,'Base de datos'!$A$3:$K$24,10,FALSE),"")))),"",IF(OR(OR(ISNUMBER(SEARCH("Hach",$B86)),ISNUMBER(SEARCH("Ketamina",$B86))),AND(IFERROR(VLOOKUP($B86,'Base de datos'!$A$3:$K$24,9,FALSE),"")&lt;&gt;"",IFERROR(VLOOKUP($B86,'Base de datos'!$A$3:$K$24,9,FALSE),"")&lt;&gt;0)),"",IFERROR($M86*VLOOKUP($B86,'Base de datos'!$A$3:$K$24,8,FALSE)/1000,""))))</f>
        <v/>
      </c>
      <c r="G86" s="7" t="str">
        <f>IF($B86="","",IF(OR(UPPER(IFERROR(VLOOKUP($B86,'Base de datos'!$A$3:$K$24,11,FALSE),""))="NO",ISNUMBER(SEARCH("no sometida",IFERROR(VLOOKUP($B86,'Base de datos'!$A$3:$K$24,10,FALSE),""))),ISNUMBER(SEARCH("no fiscal",IFERROR(VLOOKUP($B86,'Base de datos'!$A$3:$K$24,10,FALSE),"")))),"",IFERROR(IF(OR(ISNUMBER(SEARCH("Hach",$B86)),ISNUMBER(SEARCH("Ketamina",$B86))),IF(VLOOKUP($B86,'Base de datos'!$A$3:$K$24,6,FALSE)="","",$E86*VLOOKUP($B86,'Base de datos'!$A$3:$K$24,6,FALSE)),IF(AND(IFERROR(VLOOKUP($B86,'Base de datos'!$A$3:$K$24,9,FALSE),"")&lt;&gt;"",IFERROR(VLOOKUP($B86,'Base de datos'!$A$3:$K$24,9,FALSE),"")&lt;&gt;0),"",IF(VLOOKUP($B86,'Base de datos'!$A$3:$K$24,6,FALSE)="","",$N86*VLOOKUP($B86,'Base de datos'!$A$3:$K$24,6,FALSE)))),"")))</f>
        <v/>
      </c>
      <c r="H86" s="7" t="str">
        <f>IF($B86="","",IF(OR(UPPER(IFERROR(VLOOKUP($B86,'Base de datos'!$A$3:$K$24,11,FALSE),""))="NO",ISNUMBER(SEARCH("no sometida",IFERROR(VLOOKUP($B86,'Base de datos'!$A$3:$K$24,10,FALSE),""))),ISNUMBER(SEARCH("no fiscal",IFERROR(VLOOKUP($B86,'Base de datos'!$A$3:$K$24,10,FALSE),"")))),"",IF(OR(ISNUMBER(SEARCH("Hach",$B86)),ISNUMBER(SEARCH("Ketamina",$B86))),"",IF(AND(IFERROR(VLOOKUP($B86,'Base de datos'!$A$3:$K$24,9,FALSE),"")&lt;&gt;"",IFERROR(VLOOKUP($B86,'Base de datos'!$A$3:$K$24,9,FALSE),"")&lt;&gt;0),$E86*IFERROR(VLOOKUP($B86,'Base de datos'!$A$3:$K$24,9,FALSE),""),IFERROR($O86*VLOOKUP($B86,'Base de datos'!$A$3:$K$24,4,FALSE),"")))))</f>
        <v/>
      </c>
      <c r="I86" s="5" t="str">
        <f>IFERROR(VLOOKUP($B86,'Base de datos'!$A$3:$K$24,7,FALSE),"")</f>
        <v/>
      </c>
      <c r="J86" s="13" t="str">
        <f>IFERROR(VLOOKUP($B86,'Base de datos'!$A$3:$K$24,10,FALSE),"")</f>
        <v/>
      </c>
      <c r="K86" s="6"/>
      <c r="L86" s="4"/>
      <c r="M86" s="6" t="str">
        <f>IF(OR(OR(UPPER(IFERROR(VLOOKUP($B86,'Base de datos'!$A$3:$K$24,11,FALSE),""))="NO",ISNUMBER(SEARCH("no sometida",IFERROR(VLOOKUP($B86,'Base de datos'!$A$3:$K$24,10,FALSE),""))),ISNUMBER(SEARCH("no fiscal",IFERROR(VLOOKUP($B86,'Base de datos'!$A$3:$K$24,10,FALSE),"")))),OR(ISNUMBER(SEARCH("Hach",$B86)),ISNUMBER(SEARCH("Ketamina",$B86))),AND(IFERROR(VLOOKUP($B86,'Base de datos'!$A$3:$K$24,9,FALSE),"")&lt;&gt;"",IFERROR(VLOOKUP($B86,'Base de datos'!$A$3:$K$24,9,FALSE),"")&lt;&gt;0)),"",IFERROR($E86*$C86/$I86,""))</f>
        <v/>
      </c>
      <c r="N86" s="6" t="str">
        <f>IF(OR(OR(UPPER(IFERROR(VLOOKUP($B86,'Base de datos'!$A$3:$K$24,11,FALSE),""))="NO",ISNUMBER(SEARCH("no sometida",IFERROR(VLOOKUP($B86,'Base de datos'!$A$3:$K$24,10,FALSE),""))),ISNUMBER(SEARCH("no fiscal",IFERROR(VLOOKUP($B86,'Base de datos'!$A$3:$K$24,10,FALSE),"")))),OR(ISNUMBER(SEARCH("Hach",$B86)),ISNUMBER(SEARCH("Ketamina",$B86))),AND(IFERROR(VLOOKUP($B86,'Base de datos'!$A$3:$K$24,9,FALSE),"")&lt;&gt;"",IFERROR(VLOOKUP($B86,'Base de datos'!$A$3:$K$24,9,FALSE),"")&lt;&gt;0)),"",IFERROR($E86*$C86/IFERROR(VLOOKUP($B86,'Base de datos'!$A$3:$K$24,5,FALSE),0),""))</f>
        <v/>
      </c>
      <c r="O86" s="6" t="str">
        <f>IF(OR(OR(UPPER(IFERROR(VLOOKUP($B86,'Base de datos'!$A$3:$K$24,11,FALSE),""))="NO",ISNUMBER(SEARCH("no sometida",IFERROR(VLOOKUP($B86,'Base de datos'!$A$3:$K$24,10,FALSE),""))),ISNUMBER(SEARCH("no fiscal",IFERROR(VLOOKUP($B86,'Base de datos'!$A$3:$K$24,10,FALSE),"")))),OR(ISNUMBER(SEARCH("Hach",$B86)),ISNUMBER(SEARCH("Ketamina",$B86))),AND(IFERROR(VLOOKUP($B86,'Base de datos'!$A$3:$K$24,9,FALSE),"")&lt;&gt;"",IFERROR(VLOOKUP($B86,'Base de datos'!$A$3:$K$24,9,FALSE),"")&lt;&gt;0)),"",IFERROR((($E86*$C86/IFERROR(VLOOKUP($B86,'Base de datos'!$A$3:$K$24,3,FALSE),0))*1000)/IFERROR(VLOOKUP($B86,'Base de datos'!$A$3:$K$24,2,FALSE),0),""))</f>
        <v/>
      </c>
    </row>
    <row r="87" spans="1:15" x14ac:dyDescent="0.25">
      <c r="A87" s="4"/>
      <c r="B87" s="4"/>
      <c r="C87" s="5" t="str">
        <f>IFERROR(VLOOKUP($B87,'Base de datos'!$A$3:$K$24,3,FALSE),"")</f>
        <v/>
      </c>
      <c r="D87" s="4" t="str">
        <f t="shared" si="2"/>
        <v/>
      </c>
      <c r="E87" s="6"/>
      <c r="F87" s="7" t="str">
        <f>IF($B87="","",IF(OR(UPPER(IFERROR(VLOOKUP($B87,'Base de datos'!$A$3:$K$24,11,FALSE),""))="NO",ISNUMBER(SEARCH("no sometida",IFERROR(VLOOKUP($B87,'Base de datos'!$A$3:$K$24,10,FALSE),""))),ISNUMBER(SEARCH("no fiscal",IFERROR(VLOOKUP($B87,'Base de datos'!$A$3:$K$24,10,FALSE),"")))),"",IF(OR(OR(ISNUMBER(SEARCH("Hach",$B87)),ISNUMBER(SEARCH("Ketamina",$B87))),AND(IFERROR(VLOOKUP($B87,'Base de datos'!$A$3:$K$24,9,FALSE),"")&lt;&gt;"",IFERROR(VLOOKUP($B87,'Base de datos'!$A$3:$K$24,9,FALSE),"")&lt;&gt;0)),"",IFERROR($M87*VLOOKUP($B87,'Base de datos'!$A$3:$K$24,8,FALSE)/1000,""))))</f>
        <v/>
      </c>
      <c r="G87" s="7" t="str">
        <f>IF($B87="","",IF(OR(UPPER(IFERROR(VLOOKUP($B87,'Base de datos'!$A$3:$K$24,11,FALSE),""))="NO",ISNUMBER(SEARCH("no sometida",IFERROR(VLOOKUP($B87,'Base de datos'!$A$3:$K$24,10,FALSE),""))),ISNUMBER(SEARCH("no fiscal",IFERROR(VLOOKUP($B87,'Base de datos'!$A$3:$K$24,10,FALSE),"")))),"",IFERROR(IF(OR(ISNUMBER(SEARCH("Hach",$B87)),ISNUMBER(SEARCH("Ketamina",$B87))),IF(VLOOKUP($B87,'Base de datos'!$A$3:$K$24,6,FALSE)="","",$E87*VLOOKUP($B87,'Base de datos'!$A$3:$K$24,6,FALSE)),IF(AND(IFERROR(VLOOKUP($B87,'Base de datos'!$A$3:$K$24,9,FALSE),"")&lt;&gt;"",IFERROR(VLOOKUP($B87,'Base de datos'!$A$3:$K$24,9,FALSE),"")&lt;&gt;0),"",IF(VLOOKUP($B87,'Base de datos'!$A$3:$K$24,6,FALSE)="","",$N87*VLOOKUP($B87,'Base de datos'!$A$3:$K$24,6,FALSE)))),"")))</f>
        <v/>
      </c>
      <c r="H87" s="7" t="str">
        <f>IF($B87="","",IF(OR(UPPER(IFERROR(VLOOKUP($B87,'Base de datos'!$A$3:$K$24,11,FALSE),""))="NO",ISNUMBER(SEARCH("no sometida",IFERROR(VLOOKUP($B87,'Base de datos'!$A$3:$K$24,10,FALSE),""))),ISNUMBER(SEARCH("no fiscal",IFERROR(VLOOKUP($B87,'Base de datos'!$A$3:$K$24,10,FALSE),"")))),"",IF(OR(ISNUMBER(SEARCH("Hach",$B87)),ISNUMBER(SEARCH("Ketamina",$B87))),"",IF(AND(IFERROR(VLOOKUP($B87,'Base de datos'!$A$3:$K$24,9,FALSE),"")&lt;&gt;"",IFERROR(VLOOKUP($B87,'Base de datos'!$A$3:$K$24,9,FALSE),"")&lt;&gt;0),$E87*IFERROR(VLOOKUP($B87,'Base de datos'!$A$3:$K$24,9,FALSE),""),IFERROR($O87*VLOOKUP($B87,'Base de datos'!$A$3:$K$24,4,FALSE),"")))))</f>
        <v/>
      </c>
      <c r="I87" s="5" t="str">
        <f>IFERROR(VLOOKUP($B87,'Base de datos'!$A$3:$K$24,7,FALSE),"")</f>
        <v/>
      </c>
      <c r="J87" s="13" t="str">
        <f>IFERROR(VLOOKUP($B87,'Base de datos'!$A$3:$K$24,10,FALSE),"")</f>
        <v/>
      </c>
      <c r="K87" s="6"/>
      <c r="L87" s="4"/>
      <c r="M87" s="6" t="str">
        <f>IF(OR(OR(UPPER(IFERROR(VLOOKUP($B87,'Base de datos'!$A$3:$K$24,11,FALSE),""))="NO",ISNUMBER(SEARCH("no sometida",IFERROR(VLOOKUP($B87,'Base de datos'!$A$3:$K$24,10,FALSE),""))),ISNUMBER(SEARCH("no fiscal",IFERROR(VLOOKUP($B87,'Base de datos'!$A$3:$K$24,10,FALSE),"")))),OR(ISNUMBER(SEARCH("Hach",$B87)),ISNUMBER(SEARCH("Ketamina",$B87))),AND(IFERROR(VLOOKUP($B87,'Base de datos'!$A$3:$K$24,9,FALSE),"")&lt;&gt;"",IFERROR(VLOOKUP($B87,'Base de datos'!$A$3:$K$24,9,FALSE),"")&lt;&gt;0)),"",IFERROR($E87*$C87/$I87,""))</f>
        <v/>
      </c>
      <c r="N87" s="6" t="str">
        <f>IF(OR(OR(UPPER(IFERROR(VLOOKUP($B87,'Base de datos'!$A$3:$K$24,11,FALSE),""))="NO",ISNUMBER(SEARCH("no sometida",IFERROR(VLOOKUP($B87,'Base de datos'!$A$3:$K$24,10,FALSE),""))),ISNUMBER(SEARCH("no fiscal",IFERROR(VLOOKUP($B87,'Base de datos'!$A$3:$K$24,10,FALSE),"")))),OR(ISNUMBER(SEARCH("Hach",$B87)),ISNUMBER(SEARCH("Ketamina",$B87))),AND(IFERROR(VLOOKUP($B87,'Base de datos'!$A$3:$K$24,9,FALSE),"")&lt;&gt;"",IFERROR(VLOOKUP($B87,'Base de datos'!$A$3:$K$24,9,FALSE),"")&lt;&gt;0)),"",IFERROR($E87*$C87/IFERROR(VLOOKUP($B87,'Base de datos'!$A$3:$K$24,5,FALSE),0),""))</f>
        <v/>
      </c>
      <c r="O87" s="6" t="str">
        <f>IF(OR(OR(UPPER(IFERROR(VLOOKUP($B87,'Base de datos'!$A$3:$K$24,11,FALSE),""))="NO",ISNUMBER(SEARCH("no sometida",IFERROR(VLOOKUP($B87,'Base de datos'!$A$3:$K$24,10,FALSE),""))),ISNUMBER(SEARCH("no fiscal",IFERROR(VLOOKUP($B87,'Base de datos'!$A$3:$K$24,10,FALSE),"")))),OR(ISNUMBER(SEARCH("Hach",$B87)),ISNUMBER(SEARCH("Ketamina",$B87))),AND(IFERROR(VLOOKUP($B87,'Base de datos'!$A$3:$K$24,9,FALSE),"")&lt;&gt;"",IFERROR(VLOOKUP($B87,'Base de datos'!$A$3:$K$24,9,FALSE),"")&lt;&gt;0)),"",IFERROR((($E87*$C87/IFERROR(VLOOKUP($B87,'Base de datos'!$A$3:$K$24,3,FALSE),0))*1000)/IFERROR(VLOOKUP($B87,'Base de datos'!$A$3:$K$24,2,FALSE),0),""))</f>
        <v/>
      </c>
    </row>
    <row r="88" spans="1:15" x14ac:dyDescent="0.25">
      <c r="A88" s="4"/>
      <c r="B88" s="4"/>
      <c r="C88" s="5" t="str">
        <f>IFERROR(VLOOKUP($B88,'Base de datos'!$A$3:$K$24,3,FALSE),"")</f>
        <v/>
      </c>
      <c r="D88" s="4" t="str">
        <f t="shared" si="2"/>
        <v/>
      </c>
      <c r="E88" s="6"/>
      <c r="F88" s="7" t="str">
        <f>IF($B88="","",IF(OR(UPPER(IFERROR(VLOOKUP($B88,'Base de datos'!$A$3:$K$24,11,FALSE),""))="NO",ISNUMBER(SEARCH("no sometida",IFERROR(VLOOKUP($B88,'Base de datos'!$A$3:$K$24,10,FALSE),""))),ISNUMBER(SEARCH("no fiscal",IFERROR(VLOOKUP($B88,'Base de datos'!$A$3:$K$24,10,FALSE),"")))),"",IF(OR(OR(ISNUMBER(SEARCH("Hach",$B88)),ISNUMBER(SEARCH("Ketamina",$B88))),AND(IFERROR(VLOOKUP($B88,'Base de datos'!$A$3:$K$24,9,FALSE),"")&lt;&gt;"",IFERROR(VLOOKUP($B88,'Base de datos'!$A$3:$K$24,9,FALSE),"")&lt;&gt;0)),"",IFERROR($M88*VLOOKUP($B88,'Base de datos'!$A$3:$K$24,8,FALSE)/1000,""))))</f>
        <v/>
      </c>
      <c r="G88" s="7" t="str">
        <f>IF($B88="","",IF(OR(UPPER(IFERROR(VLOOKUP($B88,'Base de datos'!$A$3:$K$24,11,FALSE),""))="NO",ISNUMBER(SEARCH("no sometida",IFERROR(VLOOKUP($B88,'Base de datos'!$A$3:$K$24,10,FALSE),""))),ISNUMBER(SEARCH("no fiscal",IFERROR(VLOOKUP($B88,'Base de datos'!$A$3:$K$24,10,FALSE),"")))),"",IFERROR(IF(OR(ISNUMBER(SEARCH("Hach",$B88)),ISNUMBER(SEARCH("Ketamina",$B88))),IF(VLOOKUP($B88,'Base de datos'!$A$3:$K$24,6,FALSE)="","",$E88*VLOOKUP($B88,'Base de datos'!$A$3:$K$24,6,FALSE)),IF(AND(IFERROR(VLOOKUP($B88,'Base de datos'!$A$3:$K$24,9,FALSE),"")&lt;&gt;"",IFERROR(VLOOKUP($B88,'Base de datos'!$A$3:$K$24,9,FALSE),"")&lt;&gt;0),"",IF(VLOOKUP($B88,'Base de datos'!$A$3:$K$24,6,FALSE)="","",$N88*VLOOKUP($B88,'Base de datos'!$A$3:$K$24,6,FALSE)))),"")))</f>
        <v/>
      </c>
      <c r="H88" s="7" t="str">
        <f>IF($B88="","",IF(OR(UPPER(IFERROR(VLOOKUP($B88,'Base de datos'!$A$3:$K$24,11,FALSE),""))="NO",ISNUMBER(SEARCH("no sometida",IFERROR(VLOOKUP($B88,'Base de datos'!$A$3:$K$24,10,FALSE),""))),ISNUMBER(SEARCH("no fiscal",IFERROR(VLOOKUP($B88,'Base de datos'!$A$3:$K$24,10,FALSE),"")))),"",IF(OR(ISNUMBER(SEARCH("Hach",$B88)),ISNUMBER(SEARCH("Ketamina",$B88))),"",IF(AND(IFERROR(VLOOKUP($B88,'Base de datos'!$A$3:$K$24,9,FALSE),"")&lt;&gt;"",IFERROR(VLOOKUP($B88,'Base de datos'!$A$3:$K$24,9,FALSE),"")&lt;&gt;0),$E88*IFERROR(VLOOKUP($B88,'Base de datos'!$A$3:$K$24,9,FALSE),""),IFERROR($O88*VLOOKUP($B88,'Base de datos'!$A$3:$K$24,4,FALSE),"")))))</f>
        <v/>
      </c>
      <c r="I88" s="5" t="str">
        <f>IFERROR(VLOOKUP($B88,'Base de datos'!$A$3:$K$24,7,FALSE),"")</f>
        <v/>
      </c>
      <c r="J88" s="13" t="str">
        <f>IFERROR(VLOOKUP($B88,'Base de datos'!$A$3:$K$24,10,FALSE),"")</f>
        <v/>
      </c>
      <c r="K88" s="6"/>
      <c r="L88" s="4"/>
      <c r="M88" s="6" t="str">
        <f>IF(OR(OR(UPPER(IFERROR(VLOOKUP($B88,'Base de datos'!$A$3:$K$24,11,FALSE),""))="NO",ISNUMBER(SEARCH("no sometida",IFERROR(VLOOKUP($B88,'Base de datos'!$A$3:$K$24,10,FALSE),""))),ISNUMBER(SEARCH("no fiscal",IFERROR(VLOOKUP($B88,'Base de datos'!$A$3:$K$24,10,FALSE),"")))),OR(ISNUMBER(SEARCH("Hach",$B88)),ISNUMBER(SEARCH("Ketamina",$B88))),AND(IFERROR(VLOOKUP($B88,'Base de datos'!$A$3:$K$24,9,FALSE),"")&lt;&gt;"",IFERROR(VLOOKUP($B88,'Base de datos'!$A$3:$K$24,9,FALSE),"")&lt;&gt;0)),"",IFERROR($E88*$C88/$I88,""))</f>
        <v/>
      </c>
      <c r="N88" s="6" t="str">
        <f>IF(OR(OR(UPPER(IFERROR(VLOOKUP($B88,'Base de datos'!$A$3:$K$24,11,FALSE),""))="NO",ISNUMBER(SEARCH("no sometida",IFERROR(VLOOKUP($B88,'Base de datos'!$A$3:$K$24,10,FALSE),""))),ISNUMBER(SEARCH("no fiscal",IFERROR(VLOOKUP($B88,'Base de datos'!$A$3:$K$24,10,FALSE),"")))),OR(ISNUMBER(SEARCH("Hach",$B88)),ISNUMBER(SEARCH("Ketamina",$B88))),AND(IFERROR(VLOOKUP($B88,'Base de datos'!$A$3:$K$24,9,FALSE),"")&lt;&gt;"",IFERROR(VLOOKUP($B88,'Base de datos'!$A$3:$K$24,9,FALSE),"")&lt;&gt;0)),"",IFERROR($E88*$C88/IFERROR(VLOOKUP($B88,'Base de datos'!$A$3:$K$24,5,FALSE),0),""))</f>
        <v/>
      </c>
      <c r="O88" s="6" t="str">
        <f>IF(OR(OR(UPPER(IFERROR(VLOOKUP($B88,'Base de datos'!$A$3:$K$24,11,FALSE),""))="NO",ISNUMBER(SEARCH("no sometida",IFERROR(VLOOKUP($B88,'Base de datos'!$A$3:$K$24,10,FALSE),""))),ISNUMBER(SEARCH("no fiscal",IFERROR(VLOOKUP($B88,'Base de datos'!$A$3:$K$24,10,FALSE),"")))),OR(ISNUMBER(SEARCH("Hach",$B88)),ISNUMBER(SEARCH("Ketamina",$B88))),AND(IFERROR(VLOOKUP($B88,'Base de datos'!$A$3:$K$24,9,FALSE),"")&lt;&gt;"",IFERROR(VLOOKUP($B88,'Base de datos'!$A$3:$K$24,9,FALSE),"")&lt;&gt;0)),"",IFERROR((($E88*$C88/IFERROR(VLOOKUP($B88,'Base de datos'!$A$3:$K$24,3,FALSE),0))*1000)/IFERROR(VLOOKUP($B88,'Base de datos'!$A$3:$K$24,2,FALSE),0),""))</f>
        <v/>
      </c>
    </row>
    <row r="89" spans="1:15" x14ac:dyDescent="0.25">
      <c r="A89" s="4"/>
      <c r="B89" s="4"/>
      <c r="C89" s="5" t="str">
        <f>IFERROR(VLOOKUP($B89,'Base de datos'!$A$3:$K$24,3,FALSE),"")</f>
        <v/>
      </c>
      <c r="D89" s="4" t="str">
        <f t="shared" si="2"/>
        <v/>
      </c>
      <c r="E89" s="6"/>
      <c r="F89" s="7" t="str">
        <f>IF($B89="","",IF(OR(UPPER(IFERROR(VLOOKUP($B89,'Base de datos'!$A$3:$K$24,11,FALSE),""))="NO",ISNUMBER(SEARCH("no sometida",IFERROR(VLOOKUP($B89,'Base de datos'!$A$3:$K$24,10,FALSE),""))),ISNUMBER(SEARCH("no fiscal",IFERROR(VLOOKUP($B89,'Base de datos'!$A$3:$K$24,10,FALSE),"")))),"",IF(OR(OR(ISNUMBER(SEARCH("Hach",$B89)),ISNUMBER(SEARCH("Ketamina",$B89))),AND(IFERROR(VLOOKUP($B89,'Base de datos'!$A$3:$K$24,9,FALSE),"")&lt;&gt;"",IFERROR(VLOOKUP($B89,'Base de datos'!$A$3:$K$24,9,FALSE),"")&lt;&gt;0)),"",IFERROR($M89*VLOOKUP($B89,'Base de datos'!$A$3:$K$24,8,FALSE)/1000,""))))</f>
        <v/>
      </c>
      <c r="G89" s="7" t="str">
        <f>IF($B89="","",IF(OR(UPPER(IFERROR(VLOOKUP($B89,'Base de datos'!$A$3:$K$24,11,FALSE),""))="NO",ISNUMBER(SEARCH("no sometida",IFERROR(VLOOKUP($B89,'Base de datos'!$A$3:$K$24,10,FALSE),""))),ISNUMBER(SEARCH("no fiscal",IFERROR(VLOOKUP($B89,'Base de datos'!$A$3:$K$24,10,FALSE),"")))),"",IFERROR(IF(OR(ISNUMBER(SEARCH("Hach",$B89)),ISNUMBER(SEARCH("Ketamina",$B89))),IF(VLOOKUP($B89,'Base de datos'!$A$3:$K$24,6,FALSE)="","",$E89*VLOOKUP($B89,'Base de datos'!$A$3:$K$24,6,FALSE)),IF(AND(IFERROR(VLOOKUP($B89,'Base de datos'!$A$3:$K$24,9,FALSE),"")&lt;&gt;"",IFERROR(VLOOKUP($B89,'Base de datos'!$A$3:$K$24,9,FALSE),"")&lt;&gt;0),"",IF(VLOOKUP($B89,'Base de datos'!$A$3:$K$24,6,FALSE)="","",$N89*VLOOKUP($B89,'Base de datos'!$A$3:$K$24,6,FALSE)))),"")))</f>
        <v/>
      </c>
      <c r="H89" s="7" t="str">
        <f>IF($B89="","",IF(OR(UPPER(IFERROR(VLOOKUP($B89,'Base de datos'!$A$3:$K$24,11,FALSE),""))="NO",ISNUMBER(SEARCH("no sometida",IFERROR(VLOOKUP($B89,'Base de datos'!$A$3:$K$24,10,FALSE),""))),ISNUMBER(SEARCH("no fiscal",IFERROR(VLOOKUP($B89,'Base de datos'!$A$3:$K$24,10,FALSE),"")))),"",IF(OR(ISNUMBER(SEARCH("Hach",$B89)),ISNUMBER(SEARCH("Ketamina",$B89))),"",IF(AND(IFERROR(VLOOKUP($B89,'Base de datos'!$A$3:$K$24,9,FALSE),"")&lt;&gt;"",IFERROR(VLOOKUP($B89,'Base de datos'!$A$3:$K$24,9,FALSE),"")&lt;&gt;0),$E89*IFERROR(VLOOKUP($B89,'Base de datos'!$A$3:$K$24,9,FALSE),""),IFERROR($O89*VLOOKUP($B89,'Base de datos'!$A$3:$K$24,4,FALSE),"")))))</f>
        <v/>
      </c>
      <c r="I89" s="5" t="str">
        <f>IFERROR(VLOOKUP($B89,'Base de datos'!$A$3:$K$24,7,FALSE),"")</f>
        <v/>
      </c>
      <c r="J89" s="13" t="str">
        <f>IFERROR(VLOOKUP($B89,'Base de datos'!$A$3:$K$24,10,FALSE),"")</f>
        <v/>
      </c>
      <c r="K89" s="6"/>
      <c r="L89" s="4"/>
      <c r="M89" s="6" t="str">
        <f>IF(OR(OR(UPPER(IFERROR(VLOOKUP($B89,'Base de datos'!$A$3:$K$24,11,FALSE),""))="NO",ISNUMBER(SEARCH("no sometida",IFERROR(VLOOKUP($B89,'Base de datos'!$A$3:$K$24,10,FALSE),""))),ISNUMBER(SEARCH("no fiscal",IFERROR(VLOOKUP($B89,'Base de datos'!$A$3:$K$24,10,FALSE),"")))),OR(ISNUMBER(SEARCH("Hach",$B89)),ISNUMBER(SEARCH("Ketamina",$B89))),AND(IFERROR(VLOOKUP($B89,'Base de datos'!$A$3:$K$24,9,FALSE),"")&lt;&gt;"",IFERROR(VLOOKUP($B89,'Base de datos'!$A$3:$K$24,9,FALSE),"")&lt;&gt;0)),"",IFERROR($E89*$C89/$I89,""))</f>
        <v/>
      </c>
      <c r="N89" s="6" t="str">
        <f>IF(OR(OR(UPPER(IFERROR(VLOOKUP($B89,'Base de datos'!$A$3:$K$24,11,FALSE),""))="NO",ISNUMBER(SEARCH("no sometida",IFERROR(VLOOKUP($B89,'Base de datos'!$A$3:$K$24,10,FALSE),""))),ISNUMBER(SEARCH("no fiscal",IFERROR(VLOOKUP($B89,'Base de datos'!$A$3:$K$24,10,FALSE),"")))),OR(ISNUMBER(SEARCH("Hach",$B89)),ISNUMBER(SEARCH("Ketamina",$B89))),AND(IFERROR(VLOOKUP($B89,'Base de datos'!$A$3:$K$24,9,FALSE),"")&lt;&gt;"",IFERROR(VLOOKUP($B89,'Base de datos'!$A$3:$K$24,9,FALSE),"")&lt;&gt;0)),"",IFERROR($E89*$C89/IFERROR(VLOOKUP($B89,'Base de datos'!$A$3:$K$24,5,FALSE),0),""))</f>
        <v/>
      </c>
      <c r="O89" s="6" t="str">
        <f>IF(OR(OR(UPPER(IFERROR(VLOOKUP($B89,'Base de datos'!$A$3:$K$24,11,FALSE),""))="NO",ISNUMBER(SEARCH("no sometida",IFERROR(VLOOKUP($B89,'Base de datos'!$A$3:$K$24,10,FALSE),""))),ISNUMBER(SEARCH("no fiscal",IFERROR(VLOOKUP($B89,'Base de datos'!$A$3:$K$24,10,FALSE),"")))),OR(ISNUMBER(SEARCH("Hach",$B89)),ISNUMBER(SEARCH("Ketamina",$B89))),AND(IFERROR(VLOOKUP($B89,'Base de datos'!$A$3:$K$24,9,FALSE),"")&lt;&gt;"",IFERROR(VLOOKUP($B89,'Base de datos'!$A$3:$K$24,9,FALSE),"")&lt;&gt;0)),"",IFERROR((($E89*$C89/IFERROR(VLOOKUP($B89,'Base de datos'!$A$3:$K$24,3,FALSE),0))*1000)/IFERROR(VLOOKUP($B89,'Base de datos'!$A$3:$K$24,2,FALSE),0),""))</f>
        <v/>
      </c>
    </row>
    <row r="90" spans="1:15" x14ac:dyDescent="0.25">
      <c r="A90" s="4"/>
      <c r="B90" s="4"/>
      <c r="C90" s="5" t="str">
        <f>IFERROR(VLOOKUP($B90,'Base de datos'!$A$3:$K$24,3,FALSE),"")</f>
        <v/>
      </c>
      <c r="D90" s="4" t="str">
        <f t="shared" si="2"/>
        <v/>
      </c>
      <c r="E90" s="6"/>
      <c r="F90" s="7" t="str">
        <f>IF($B90="","",IF(OR(UPPER(IFERROR(VLOOKUP($B90,'Base de datos'!$A$3:$K$24,11,FALSE),""))="NO",ISNUMBER(SEARCH("no sometida",IFERROR(VLOOKUP($B90,'Base de datos'!$A$3:$K$24,10,FALSE),""))),ISNUMBER(SEARCH("no fiscal",IFERROR(VLOOKUP($B90,'Base de datos'!$A$3:$K$24,10,FALSE),"")))),"",IF(OR(OR(ISNUMBER(SEARCH("Hach",$B90)),ISNUMBER(SEARCH("Ketamina",$B90))),AND(IFERROR(VLOOKUP($B90,'Base de datos'!$A$3:$K$24,9,FALSE),"")&lt;&gt;"",IFERROR(VLOOKUP($B90,'Base de datos'!$A$3:$K$24,9,FALSE),"")&lt;&gt;0)),"",IFERROR($M90*VLOOKUP($B90,'Base de datos'!$A$3:$K$24,8,FALSE)/1000,""))))</f>
        <v/>
      </c>
      <c r="G90" s="7" t="str">
        <f>IF($B90="","",IF(OR(UPPER(IFERROR(VLOOKUP($B90,'Base de datos'!$A$3:$K$24,11,FALSE),""))="NO",ISNUMBER(SEARCH("no sometida",IFERROR(VLOOKUP($B90,'Base de datos'!$A$3:$K$24,10,FALSE),""))),ISNUMBER(SEARCH("no fiscal",IFERROR(VLOOKUP($B90,'Base de datos'!$A$3:$K$24,10,FALSE),"")))),"",IFERROR(IF(OR(ISNUMBER(SEARCH("Hach",$B90)),ISNUMBER(SEARCH("Ketamina",$B90))),IF(VLOOKUP($B90,'Base de datos'!$A$3:$K$24,6,FALSE)="","",$E90*VLOOKUP($B90,'Base de datos'!$A$3:$K$24,6,FALSE)),IF(AND(IFERROR(VLOOKUP($B90,'Base de datos'!$A$3:$K$24,9,FALSE),"")&lt;&gt;"",IFERROR(VLOOKUP($B90,'Base de datos'!$A$3:$K$24,9,FALSE),"")&lt;&gt;0),"",IF(VLOOKUP($B90,'Base de datos'!$A$3:$K$24,6,FALSE)="","",$N90*VLOOKUP($B90,'Base de datos'!$A$3:$K$24,6,FALSE)))),"")))</f>
        <v/>
      </c>
      <c r="H90" s="7" t="str">
        <f>IF($B90="","",IF(OR(UPPER(IFERROR(VLOOKUP($B90,'Base de datos'!$A$3:$K$24,11,FALSE),""))="NO",ISNUMBER(SEARCH("no sometida",IFERROR(VLOOKUP($B90,'Base de datos'!$A$3:$K$24,10,FALSE),""))),ISNUMBER(SEARCH("no fiscal",IFERROR(VLOOKUP($B90,'Base de datos'!$A$3:$K$24,10,FALSE),"")))),"",IF(OR(ISNUMBER(SEARCH("Hach",$B90)),ISNUMBER(SEARCH("Ketamina",$B90))),"",IF(AND(IFERROR(VLOOKUP($B90,'Base de datos'!$A$3:$K$24,9,FALSE),"")&lt;&gt;"",IFERROR(VLOOKUP($B90,'Base de datos'!$A$3:$K$24,9,FALSE),"")&lt;&gt;0),$E90*IFERROR(VLOOKUP($B90,'Base de datos'!$A$3:$K$24,9,FALSE),""),IFERROR($O90*VLOOKUP($B90,'Base de datos'!$A$3:$K$24,4,FALSE),"")))))</f>
        <v/>
      </c>
      <c r="I90" s="5" t="str">
        <f>IFERROR(VLOOKUP($B90,'Base de datos'!$A$3:$K$24,7,FALSE),"")</f>
        <v/>
      </c>
      <c r="J90" s="13" t="str">
        <f>IFERROR(VLOOKUP($B90,'Base de datos'!$A$3:$K$24,10,FALSE),"")</f>
        <v/>
      </c>
      <c r="K90" s="6"/>
      <c r="L90" s="4"/>
      <c r="M90" s="6" t="str">
        <f>IF(OR(OR(UPPER(IFERROR(VLOOKUP($B90,'Base de datos'!$A$3:$K$24,11,FALSE),""))="NO",ISNUMBER(SEARCH("no sometida",IFERROR(VLOOKUP($B90,'Base de datos'!$A$3:$K$24,10,FALSE),""))),ISNUMBER(SEARCH("no fiscal",IFERROR(VLOOKUP($B90,'Base de datos'!$A$3:$K$24,10,FALSE),"")))),OR(ISNUMBER(SEARCH("Hach",$B90)),ISNUMBER(SEARCH("Ketamina",$B90))),AND(IFERROR(VLOOKUP($B90,'Base de datos'!$A$3:$K$24,9,FALSE),"")&lt;&gt;"",IFERROR(VLOOKUP($B90,'Base de datos'!$A$3:$K$24,9,FALSE),"")&lt;&gt;0)),"",IFERROR($E90*$C90/$I90,""))</f>
        <v/>
      </c>
      <c r="N90" s="6" t="str">
        <f>IF(OR(OR(UPPER(IFERROR(VLOOKUP($B90,'Base de datos'!$A$3:$K$24,11,FALSE),""))="NO",ISNUMBER(SEARCH("no sometida",IFERROR(VLOOKUP($B90,'Base de datos'!$A$3:$K$24,10,FALSE),""))),ISNUMBER(SEARCH("no fiscal",IFERROR(VLOOKUP($B90,'Base de datos'!$A$3:$K$24,10,FALSE),"")))),OR(ISNUMBER(SEARCH("Hach",$B90)),ISNUMBER(SEARCH("Ketamina",$B90))),AND(IFERROR(VLOOKUP($B90,'Base de datos'!$A$3:$K$24,9,FALSE),"")&lt;&gt;"",IFERROR(VLOOKUP($B90,'Base de datos'!$A$3:$K$24,9,FALSE),"")&lt;&gt;0)),"",IFERROR($E90*$C90/IFERROR(VLOOKUP($B90,'Base de datos'!$A$3:$K$24,5,FALSE),0),""))</f>
        <v/>
      </c>
      <c r="O90" s="6" t="str">
        <f>IF(OR(OR(UPPER(IFERROR(VLOOKUP($B90,'Base de datos'!$A$3:$K$24,11,FALSE),""))="NO",ISNUMBER(SEARCH("no sometida",IFERROR(VLOOKUP($B90,'Base de datos'!$A$3:$K$24,10,FALSE),""))),ISNUMBER(SEARCH("no fiscal",IFERROR(VLOOKUP($B90,'Base de datos'!$A$3:$K$24,10,FALSE),"")))),OR(ISNUMBER(SEARCH("Hach",$B90)),ISNUMBER(SEARCH("Ketamina",$B90))),AND(IFERROR(VLOOKUP($B90,'Base de datos'!$A$3:$K$24,9,FALSE),"")&lt;&gt;"",IFERROR(VLOOKUP($B90,'Base de datos'!$A$3:$K$24,9,FALSE),"")&lt;&gt;0)),"",IFERROR((($E90*$C90/IFERROR(VLOOKUP($B90,'Base de datos'!$A$3:$K$24,3,FALSE),0))*1000)/IFERROR(VLOOKUP($B90,'Base de datos'!$A$3:$K$24,2,FALSE),0),""))</f>
        <v/>
      </c>
    </row>
    <row r="91" spans="1:15" x14ac:dyDescent="0.25">
      <c r="A91" s="4"/>
      <c r="B91" s="4"/>
      <c r="C91" s="5" t="str">
        <f>IFERROR(VLOOKUP($B91,'Base de datos'!$A$3:$K$24,3,FALSE),"")</f>
        <v/>
      </c>
      <c r="D91" s="4" t="str">
        <f t="shared" si="2"/>
        <v/>
      </c>
      <c r="E91" s="6"/>
      <c r="F91" s="7" t="str">
        <f>IF($B91="","",IF(OR(UPPER(IFERROR(VLOOKUP($B91,'Base de datos'!$A$3:$K$24,11,FALSE),""))="NO",ISNUMBER(SEARCH("no sometida",IFERROR(VLOOKUP($B91,'Base de datos'!$A$3:$K$24,10,FALSE),""))),ISNUMBER(SEARCH("no fiscal",IFERROR(VLOOKUP($B91,'Base de datos'!$A$3:$K$24,10,FALSE),"")))),"",IF(OR(OR(ISNUMBER(SEARCH("Hach",$B91)),ISNUMBER(SEARCH("Ketamina",$B91))),AND(IFERROR(VLOOKUP($B91,'Base de datos'!$A$3:$K$24,9,FALSE),"")&lt;&gt;"",IFERROR(VLOOKUP($B91,'Base de datos'!$A$3:$K$24,9,FALSE),"")&lt;&gt;0)),"",IFERROR($M91*VLOOKUP($B91,'Base de datos'!$A$3:$K$24,8,FALSE)/1000,""))))</f>
        <v/>
      </c>
      <c r="G91" s="7" t="str">
        <f>IF($B91="","",IF(OR(UPPER(IFERROR(VLOOKUP($B91,'Base de datos'!$A$3:$K$24,11,FALSE),""))="NO",ISNUMBER(SEARCH("no sometida",IFERROR(VLOOKUP($B91,'Base de datos'!$A$3:$K$24,10,FALSE),""))),ISNUMBER(SEARCH("no fiscal",IFERROR(VLOOKUP($B91,'Base de datos'!$A$3:$K$24,10,FALSE),"")))),"",IFERROR(IF(OR(ISNUMBER(SEARCH("Hach",$B91)),ISNUMBER(SEARCH("Ketamina",$B91))),IF(VLOOKUP($B91,'Base de datos'!$A$3:$K$24,6,FALSE)="","",$E91*VLOOKUP($B91,'Base de datos'!$A$3:$K$24,6,FALSE)),IF(AND(IFERROR(VLOOKUP($B91,'Base de datos'!$A$3:$K$24,9,FALSE),"")&lt;&gt;"",IFERROR(VLOOKUP($B91,'Base de datos'!$A$3:$K$24,9,FALSE),"")&lt;&gt;0),"",IF(VLOOKUP($B91,'Base de datos'!$A$3:$K$24,6,FALSE)="","",$N91*VLOOKUP($B91,'Base de datos'!$A$3:$K$24,6,FALSE)))),"")))</f>
        <v/>
      </c>
      <c r="H91" s="7" t="str">
        <f>IF($B91="","",IF(OR(UPPER(IFERROR(VLOOKUP($B91,'Base de datos'!$A$3:$K$24,11,FALSE),""))="NO",ISNUMBER(SEARCH("no sometida",IFERROR(VLOOKUP($B91,'Base de datos'!$A$3:$K$24,10,FALSE),""))),ISNUMBER(SEARCH("no fiscal",IFERROR(VLOOKUP($B91,'Base de datos'!$A$3:$K$24,10,FALSE),"")))),"",IF(OR(ISNUMBER(SEARCH("Hach",$B91)),ISNUMBER(SEARCH("Ketamina",$B91))),"",IF(AND(IFERROR(VLOOKUP($B91,'Base de datos'!$A$3:$K$24,9,FALSE),"")&lt;&gt;"",IFERROR(VLOOKUP($B91,'Base de datos'!$A$3:$K$24,9,FALSE),"")&lt;&gt;0),$E91*IFERROR(VLOOKUP($B91,'Base de datos'!$A$3:$K$24,9,FALSE),""),IFERROR($O91*VLOOKUP($B91,'Base de datos'!$A$3:$K$24,4,FALSE),"")))))</f>
        <v/>
      </c>
      <c r="I91" s="5" t="str">
        <f>IFERROR(VLOOKUP($B91,'Base de datos'!$A$3:$K$24,7,FALSE),"")</f>
        <v/>
      </c>
      <c r="J91" s="13" t="str">
        <f>IFERROR(VLOOKUP($B91,'Base de datos'!$A$3:$K$24,10,FALSE),"")</f>
        <v/>
      </c>
      <c r="K91" s="6"/>
      <c r="L91" s="4"/>
      <c r="M91" s="6" t="str">
        <f>IF(OR(OR(UPPER(IFERROR(VLOOKUP($B91,'Base de datos'!$A$3:$K$24,11,FALSE),""))="NO",ISNUMBER(SEARCH("no sometida",IFERROR(VLOOKUP($B91,'Base de datos'!$A$3:$K$24,10,FALSE),""))),ISNUMBER(SEARCH("no fiscal",IFERROR(VLOOKUP($B91,'Base de datos'!$A$3:$K$24,10,FALSE),"")))),OR(ISNUMBER(SEARCH("Hach",$B91)),ISNUMBER(SEARCH("Ketamina",$B91))),AND(IFERROR(VLOOKUP($B91,'Base de datos'!$A$3:$K$24,9,FALSE),"")&lt;&gt;"",IFERROR(VLOOKUP($B91,'Base de datos'!$A$3:$K$24,9,FALSE),"")&lt;&gt;0)),"",IFERROR($E91*$C91/$I91,""))</f>
        <v/>
      </c>
      <c r="N91" s="6" t="str">
        <f>IF(OR(OR(UPPER(IFERROR(VLOOKUP($B91,'Base de datos'!$A$3:$K$24,11,FALSE),""))="NO",ISNUMBER(SEARCH("no sometida",IFERROR(VLOOKUP($B91,'Base de datos'!$A$3:$K$24,10,FALSE),""))),ISNUMBER(SEARCH("no fiscal",IFERROR(VLOOKUP($B91,'Base de datos'!$A$3:$K$24,10,FALSE),"")))),OR(ISNUMBER(SEARCH("Hach",$B91)),ISNUMBER(SEARCH("Ketamina",$B91))),AND(IFERROR(VLOOKUP($B91,'Base de datos'!$A$3:$K$24,9,FALSE),"")&lt;&gt;"",IFERROR(VLOOKUP($B91,'Base de datos'!$A$3:$K$24,9,FALSE),"")&lt;&gt;0)),"",IFERROR($E91*$C91/IFERROR(VLOOKUP($B91,'Base de datos'!$A$3:$K$24,5,FALSE),0),""))</f>
        <v/>
      </c>
      <c r="O91" s="6" t="str">
        <f>IF(OR(OR(UPPER(IFERROR(VLOOKUP($B91,'Base de datos'!$A$3:$K$24,11,FALSE),""))="NO",ISNUMBER(SEARCH("no sometida",IFERROR(VLOOKUP($B91,'Base de datos'!$A$3:$K$24,10,FALSE),""))),ISNUMBER(SEARCH("no fiscal",IFERROR(VLOOKUP($B91,'Base de datos'!$A$3:$K$24,10,FALSE),"")))),OR(ISNUMBER(SEARCH("Hach",$B91)),ISNUMBER(SEARCH("Ketamina",$B91))),AND(IFERROR(VLOOKUP($B91,'Base de datos'!$A$3:$K$24,9,FALSE),"")&lt;&gt;"",IFERROR(VLOOKUP($B91,'Base de datos'!$A$3:$K$24,9,FALSE),"")&lt;&gt;0)),"",IFERROR((($E91*$C91/IFERROR(VLOOKUP($B91,'Base de datos'!$A$3:$K$24,3,FALSE),0))*1000)/IFERROR(VLOOKUP($B91,'Base de datos'!$A$3:$K$24,2,FALSE),0),""))</f>
        <v/>
      </c>
    </row>
    <row r="92" spans="1:15" x14ac:dyDescent="0.25">
      <c r="A92" s="4"/>
      <c r="B92" s="4"/>
      <c r="C92" s="5" t="str">
        <f>IFERROR(VLOOKUP($B92,'Base de datos'!$A$3:$K$24,3,FALSE),"")</f>
        <v/>
      </c>
      <c r="D92" s="4" t="str">
        <f t="shared" si="2"/>
        <v/>
      </c>
      <c r="E92" s="6"/>
      <c r="F92" s="7" t="str">
        <f>IF($B92="","",IF(OR(UPPER(IFERROR(VLOOKUP($B92,'Base de datos'!$A$3:$K$24,11,FALSE),""))="NO",ISNUMBER(SEARCH("no sometida",IFERROR(VLOOKUP($B92,'Base de datos'!$A$3:$K$24,10,FALSE),""))),ISNUMBER(SEARCH("no fiscal",IFERROR(VLOOKUP($B92,'Base de datos'!$A$3:$K$24,10,FALSE),"")))),"",IF(OR(OR(ISNUMBER(SEARCH("Hach",$B92)),ISNUMBER(SEARCH("Ketamina",$B92))),AND(IFERROR(VLOOKUP($B92,'Base de datos'!$A$3:$K$24,9,FALSE),"")&lt;&gt;"",IFERROR(VLOOKUP($B92,'Base de datos'!$A$3:$K$24,9,FALSE),"")&lt;&gt;0)),"",IFERROR($M92*VLOOKUP($B92,'Base de datos'!$A$3:$K$24,8,FALSE)/1000,""))))</f>
        <v/>
      </c>
      <c r="G92" s="7" t="str">
        <f>IF($B92="","",IF(OR(UPPER(IFERROR(VLOOKUP($B92,'Base de datos'!$A$3:$K$24,11,FALSE),""))="NO",ISNUMBER(SEARCH("no sometida",IFERROR(VLOOKUP($B92,'Base de datos'!$A$3:$K$24,10,FALSE),""))),ISNUMBER(SEARCH("no fiscal",IFERROR(VLOOKUP($B92,'Base de datos'!$A$3:$K$24,10,FALSE),"")))),"",IFERROR(IF(OR(ISNUMBER(SEARCH("Hach",$B92)),ISNUMBER(SEARCH("Ketamina",$B92))),IF(VLOOKUP($B92,'Base de datos'!$A$3:$K$24,6,FALSE)="","",$E92*VLOOKUP($B92,'Base de datos'!$A$3:$K$24,6,FALSE)),IF(AND(IFERROR(VLOOKUP($B92,'Base de datos'!$A$3:$K$24,9,FALSE),"")&lt;&gt;"",IFERROR(VLOOKUP($B92,'Base de datos'!$A$3:$K$24,9,FALSE),"")&lt;&gt;0),"",IF(VLOOKUP($B92,'Base de datos'!$A$3:$K$24,6,FALSE)="","",$N92*VLOOKUP($B92,'Base de datos'!$A$3:$K$24,6,FALSE)))),"")))</f>
        <v/>
      </c>
      <c r="H92" s="7" t="str">
        <f>IF($B92="","",IF(OR(UPPER(IFERROR(VLOOKUP($B92,'Base de datos'!$A$3:$K$24,11,FALSE),""))="NO",ISNUMBER(SEARCH("no sometida",IFERROR(VLOOKUP($B92,'Base de datos'!$A$3:$K$24,10,FALSE),""))),ISNUMBER(SEARCH("no fiscal",IFERROR(VLOOKUP($B92,'Base de datos'!$A$3:$K$24,10,FALSE),"")))),"",IF(OR(ISNUMBER(SEARCH("Hach",$B92)),ISNUMBER(SEARCH("Ketamina",$B92))),"",IF(AND(IFERROR(VLOOKUP($B92,'Base de datos'!$A$3:$K$24,9,FALSE),"")&lt;&gt;"",IFERROR(VLOOKUP($B92,'Base de datos'!$A$3:$K$24,9,FALSE),"")&lt;&gt;0),$E92*IFERROR(VLOOKUP($B92,'Base de datos'!$A$3:$K$24,9,FALSE),""),IFERROR($O92*VLOOKUP($B92,'Base de datos'!$A$3:$K$24,4,FALSE),"")))))</f>
        <v/>
      </c>
      <c r="I92" s="5" t="str">
        <f>IFERROR(VLOOKUP($B92,'Base de datos'!$A$3:$K$24,7,FALSE),"")</f>
        <v/>
      </c>
      <c r="J92" s="13" t="str">
        <f>IFERROR(VLOOKUP($B92,'Base de datos'!$A$3:$K$24,10,FALSE),"")</f>
        <v/>
      </c>
      <c r="K92" s="6"/>
      <c r="L92" s="4"/>
      <c r="M92" s="6" t="str">
        <f>IF(OR(OR(UPPER(IFERROR(VLOOKUP($B92,'Base de datos'!$A$3:$K$24,11,FALSE),""))="NO",ISNUMBER(SEARCH("no sometida",IFERROR(VLOOKUP($B92,'Base de datos'!$A$3:$K$24,10,FALSE),""))),ISNUMBER(SEARCH("no fiscal",IFERROR(VLOOKUP($B92,'Base de datos'!$A$3:$K$24,10,FALSE),"")))),OR(ISNUMBER(SEARCH("Hach",$B92)),ISNUMBER(SEARCH("Ketamina",$B92))),AND(IFERROR(VLOOKUP($B92,'Base de datos'!$A$3:$K$24,9,FALSE),"")&lt;&gt;"",IFERROR(VLOOKUP($B92,'Base de datos'!$A$3:$K$24,9,FALSE),"")&lt;&gt;0)),"",IFERROR($E92*$C92/$I92,""))</f>
        <v/>
      </c>
      <c r="N92" s="6" t="str">
        <f>IF(OR(OR(UPPER(IFERROR(VLOOKUP($B92,'Base de datos'!$A$3:$K$24,11,FALSE),""))="NO",ISNUMBER(SEARCH("no sometida",IFERROR(VLOOKUP($B92,'Base de datos'!$A$3:$K$24,10,FALSE),""))),ISNUMBER(SEARCH("no fiscal",IFERROR(VLOOKUP($B92,'Base de datos'!$A$3:$K$24,10,FALSE),"")))),OR(ISNUMBER(SEARCH("Hach",$B92)),ISNUMBER(SEARCH("Ketamina",$B92))),AND(IFERROR(VLOOKUP($B92,'Base de datos'!$A$3:$K$24,9,FALSE),"")&lt;&gt;"",IFERROR(VLOOKUP($B92,'Base de datos'!$A$3:$K$24,9,FALSE),"")&lt;&gt;0)),"",IFERROR($E92*$C92/IFERROR(VLOOKUP($B92,'Base de datos'!$A$3:$K$24,5,FALSE),0),""))</f>
        <v/>
      </c>
      <c r="O92" s="6" t="str">
        <f>IF(OR(OR(UPPER(IFERROR(VLOOKUP($B92,'Base de datos'!$A$3:$K$24,11,FALSE),""))="NO",ISNUMBER(SEARCH("no sometida",IFERROR(VLOOKUP($B92,'Base de datos'!$A$3:$K$24,10,FALSE),""))),ISNUMBER(SEARCH("no fiscal",IFERROR(VLOOKUP($B92,'Base de datos'!$A$3:$K$24,10,FALSE),"")))),OR(ISNUMBER(SEARCH("Hach",$B92)),ISNUMBER(SEARCH("Ketamina",$B92))),AND(IFERROR(VLOOKUP($B92,'Base de datos'!$A$3:$K$24,9,FALSE),"")&lt;&gt;"",IFERROR(VLOOKUP($B92,'Base de datos'!$A$3:$K$24,9,FALSE),"")&lt;&gt;0)),"",IFERROR((($E92*$C92/IFERROR(VLOOKUP($B92,'Base de datos'!$A$3:$K$24,3,FALSE),0))*1000)/IFERROR(VLOOKUP($B92,'Base de datos'!$A$3:$K$24,2,FALSE),0),""))</f>
        <v/>
      </c>
    </row>
    <row r="93" spans="1:15" x14ac:dyDescent="0.25">
      <c r="A93" s="4"/>
      <c r="B93" s="4"/>
      <c r="C93" s="5" t="str">
        <f>IFERROR(VLOOKUP($B93,'Base de datos'!$A$3:$K$24,3,FALSE),"")</f>
        <v/>
      </c>
      <c r="D93" s="4" t="str">
        <f t="shared" si="2"/>
        <v/>
      </c>
      <c r="E93" s="6"/>
      <c r="F93" s="7" t="str">
        <f>IF($B93="","",IF(OR(UPPER(IFERROR(VLOOKUP($B93,'Base de datos'!$A$3:$K$24,11,FALSE),""))="NO",ISNUMBER(SEARCH("no sometida",IFERROR(VLOOKUP($B93,'Base de datos'!$A$3:$K$24,10,FALSE),""))),ISNUMBER(SEARCH("no fiscal",IFERROR(VLOOKUP($B93,'Base de datos'!$A$3:$K$24,10,FALSE),"")))),"",IF(OR(OR(ISNUMBER(SEARCH("Hach",$B93)),ISNUMBER(SEARCH("Ketamina",$B93))),AND(IFERROR(VLOOKUP($B93,'Base de datos'!$A$3:$K$24,9,FALSE),"")&lt;&gt;"",IFERROR(VLOOKUP($B93,'Base de datos'!$A$3:$K$24,9,FALSE),"")&lt;&gt;0)),"",IFERROR($M93*VLOOKUP($B93,'Base de datos'!$A$3:$K$24,8,FALSE)/1000,""))))</f>
        <v/>
      </c>
      <c r="G93" s="7" t="str">
        <f>IF($B93="","",IF(OR(UPPER(IFERROR(VLOOKUP($B93,'Base de datos'!$A$3:$K$24,11,FALSE),""))="NO",ISNUMBER(SEARCH("no sometida",IFERROR(VLOOKUP($B93,'Base de datos'!$A$3:$K$24,10,FALSE),""))),ISNUMBER(SEARCH("no fiscal",IFERROR(VLOOKUP($B93,'Base de datos'!$A$3:$K$24,10,FALSE),"")))),"",IFERROR(IF(OR(ISNUMBER(SEARCH("Hach",$B93)),ISNUMBER(SEARCH("Ketamina",$B93))),IF(VLOOKUP($B93,'Base de datos'!$A$3:$K$24,6,FALSE)="","",$E93*VLOOKUP($B93,'Base de datos'!$A$3:$K$24,6,FALSE)),IF(AND(IFERROR(VLOOKUP($B93,'Base de datos'!$A$3:$K$24,9,FALSE),"")&lt;&gt;"",IFERROR(VLOOKUP($B93,'Base de datos'!$A$3:$K$24,9,FALSE),"")&lt;&gt;0),"",IF(VLOOKUP($B93,'Base de datos'!$A$3:$K$24,6,FALSE)="","",$N93*VLOOKUP($B93,'Base de datos'!$A$3:$K$24,6,FALSE)))),"")))</f>
        <v/>
      </c>
      <c r="H93" s="7" t="str">
        <f>IF($B93="","",IF(OR(UPPER(IFERROR(VLOOKUP($B93,'Base de datos'!$A$3:$K$24,11,FALSE),""))="NO",ISNUMBER(SEARCH("no sometida",IFERROR(VLOOKUP($B93,'Base de datos'!$A$3:$K$24,10,FALSE),""))),ISNUMBER(SEARCH("no fiscal",IFERROR(VLOOKUP($B93,'Base de datos'!$A$3:$K$24,10,FALSE),"")))),"",IF(OR(ISNUMBER(SEARCH("Hach",$B93)),ISNUMBER(SEARCH("Ketamina",$B93))),"",IF(AND(IFERROR(VLOOKUP($B93,'Base de datos'!$A$3:$K$24,9,FALSE),"")&lt;&gt;"",IFERROR(VLOOKUP($B93,'Base de datos'!$A$3:$K$24,9,FALSE),"")&lt;&gt;0),$E93*IFERROR(VLOOKUP($B93,'Base de datos'!$A$3:$K$24,9,FALSE),""),IFERROR($O93*VLOOKUP($B93,'Base de datos'!$A$3:$K$24,4,FALSE),"")))))</f>
        <v/>
      </c>
      <c r="I93" s="5" t="str">
        <f>IFERROR(VLOOKUP($B93,'Base de datos'!$A$3:$K$24,7,FALSE),"")</f>
        <v/>
      </c>
      <c r="J93" s="13" t="str">
        <f>IFERROR(VLOOKUP($B93,'Base de datos'!$A$3:$K$24,10,FALSE),"")</f>
        <v/>
      </c>
      <c r="K93" s="6"/>
      <c r="L93" s="4"/>
      <c r="M93" s="6" t="str">
        <f>IF(OR(OR(UPPER(IFERROR(VLOOKUP($B93,'Base de datos'!$A$3:$K$24,11,FALSE),""))="NO",ISNUMBER(SEARCH("no sometida",IFERROR(VLOOKUP($B93,'Base de datos'!$A$3:$K$24,10,FALSE),""))),ISNUMBER(SEARCH("no fiscal",IFERROR(VLOOKUP($B93,'Base de datos'!$A$3:$K$24,10,FALSE),"")))),OR(ISNUMBER(SEARCH("Hach",$B93)),ISNUMBER(SEARCH("Ketamina",$B93))),AND(IFERROR(VLOOKUP($B93,'Base de datos'!$A$3:$K$24,9,FALSE),"")&lt;&gt;"",IFERROR(VLOOKUP($B93,'Base de datos'!$A$3:$K$24,9,FALSE),"")&lt;&gt;0)),"",IFERROR($E93*$C93/$I93,""))</f>
        <v/>
      </c>
      <c r="N93" s="6" t="str">
        <f>IF(OR(OR(UPPER(IFERROR(VLOOKUP($B93,'Base de datos'!$A$3:$K$24,11,FALSE),""))="NO",ISNUMBER(SEARCH("no sometida",IFERROR(VLOOKUP($B93,'Base de datos'!$A$3:$K$24,10,FALSE),""))),ISNUMBER(SEARCH("no fiscal",IFERROR(VLOOKUP($B93,'Base de datos'!$A$3:$K$24,10,FALSE),"")))),OR(ISNUMBER(SEARCH("Hach",$B93)),ISNUMBER(SEARCH("Ketamina",$B93))),AND(IFERROR(VLOOKUP($B93,'Base de datos'!$A$3:$K$24,9,FALSE),"")&lt;&gt;"",IFERROR(VLOOKUP($B93,'Base de datos'!$A$3:$K$24,9,FALSE),"")&lt;&gt;0)),"",IFERROR($E93*$C93/IFERROR(VLOOKUP($B93,'Base de datos'!$A$3:$K$24,5,FALSE),0),""))</f>
        <v/>
      </c>
      <c r="O93" s="6" t="str">
        <f>IF(OR(OR(UPPER(IFERROR(VLOOKUP($B93,'Base de datos'!$A$3:$K$24,11,FALSE),""))="NO",ISNUMBER(SEARCH("no sometida",IFERROR(VLOOKUP($B93,'Base de datos'!$A$3:$K$24,10,FALSE),""))),ISNUMBER(SEARCH("no fiscal",IFERROR(VLOOKUP($B93,'Base de datos'!$A$3:$K$24,10,FALSE),"")))),OR(ISNUMBER(SEARCH("Hach",$B93)),ISNUMBER(SEARCH("Ketamina",$B93))),AND(IFERROR(VLOOKUP($B93,'Base de datos'!$A$3:$K$24,9,FALSE),"")&lt;&gt;"",IFERROR(VLOOKUP($B93,'Base de datos'!$A$3:$K$24,9,FALSE),"")&lt;&gt;0)),"",IFERROR((($E93*$C93/IFERROR(VLOOKUP($B93,'Base de datos'!$A$3:$K$24,3,FALSE),0))*1000)/IFERROR(VLOOKUP($B93,'Base de datos'!$A$3:$K$24,2,FALSE),0),""))</f>
        <v/>
      </c>
    </row>
    <row r="94" spans="1:15" x14ac:dyDescent="0.25">
      <c r="A94" s="4"/>
      <c r="B94" s="4"/>
      <c r="C94" s="5" t="str">
        <f>IFERROR(VLOOKUP($B94,'Base de datos'!$A$3:$K$24,3,FALSE),"")</f>
        <v/>
      </c>
      <c r="D94" s="4" t="str">
        <f t="shared" si="2"/>
        <v/>
      </c>
      <c r="E94" s="6"/>
      <c r="F94" s="7" t="str">
        <f>IF($B94="","",IF(OR(UPPER(IFERROR(VLOOKUP($B94,'Base de datos'!$A$3:$K$24,11,FALSE),""))="NO",ISNUMBER(SEARCH("no sometida",IFERROR(VLOOKUP($B94,'Base de datos'!$A$3:$K$24,10,FALSE),""))),ISNUMBER(SEARCH("no fiscal",IFERROR(VLOOKUP($B94,'Base de datos'!$A$3:$K$24,10,FALSE),"")))),"",IF(OR(OR(ISNUMBER(SEARCH("Hach",$B94)),ISNUMBER(SEARCH("Ketamina",$B94))),AND(IFERROR(VLOOKUP($B94,'Base de datos'!$A$3:$K$24,9,FALSE),"")&lt;&gt;"",IFERROR(VLOOKUP($B94,'Base de datos'!$A$3:$K$24,9,FALSE),"")&lt;&gt;0)),"",IFERROR($M94*VLOOKUP($B94,'Base de datos'!$A$3:$K$24,8,FALSE)/1000,""))))</f>
        <v/>
      </c>
      <c r="G94" s="7" t="str">
        <f>IF($B94="","",IF(OR(UPPER(IFERROR(VLOOKUP($B94,'Base de datos'!$A$3:$K$24,11,FALSE),""))="NO",ISNUMBER(SEARCH("no sometida",IFERROR(VLOOKUP($B94,'Base de datos'!$A$3:$K$24,10,FALSE),""))),ISNUMBER(SEARCH("no fiscal",IFERROR(VLOOKUP($B94,'Base de datos'!$A$3:$K$24,10,FALSE),"")))),"",IFERROR(IF(OR(ISNUMBER(SEARCH("Hach",$B94)),ISNUMBER(SEARCH("Ketamina",$B94))),IF(VLOOKUP($B94,'Base de datos'!$A$3:$K$24,6,FALSE)="","",$E94*VLOOKUP($B94,'Base de datos'!$A$3:$K$24,6,FALSE)),IF(AND(IFERROR(VLOOKUP($B94,'Base de datos'!$A$3:$K$24,9,FALSE),"")&lt;&gt;"",IFERROR(VLOOKUP($B94,'Base de datos'!$A$3:$K$24,9,FALSE),"")&lt;&gt;0),"",IF(VLOOKUP($B94,'Base de datos'!$A$3:$K$24,6,FALSE)="","",$N94*VLOOKUP($B94,'Base de datos'!$A$3:$K$24,6,FALSE)))),"")))</f>
        <v/>
      </c>
      <c r="H94" s="7" t="str">
        <f>IF($B94="","",IF(OR(UPPER(IFERROR(VLOOKUP($B94,'Base de datos'!$A$3:$K$24,11,FALSE),""))="NO",ISNUMBER(SEARCH("no sometida",IFERROR(VLOOKUP($B94,'Base de datos'!$A$3:$K$24,10,FALSE),""))),ISNUMBER(SEARCH("no fiscal",IFERROR(VLOOKUP($B94,'Base de datos'!$A$3:$K$24,10,FALSE),"")))),"",IF(OR(ISNUMBER(SEARCH("Hach",$B94)),ISNUMBER(SEARCH("Ketamina",$B94))),"",IF(AND(IFERROR(VLOOKUP($B94,'Base de datos'!$A$3:$K$24,9,FALSE),"")&lt;&gt;"",IFERROR(VLOOKUP($B94,'Base de datos'!$A$3:$K$24,9,FALSE),"")&lt;&gt;0),$E94*IFERROR(VLOOKUP($B94,'Base de datos'!$A$3:$K$24,9,FALSE),""),IFERROR($O94*VLOOKUP($B94,'Base de datos'!$A$3:$K$24,4,FALSE),"")))))</f>
        <v/>
      </c>
      <c r="I94" s="5" t="str">
        <f>IFERROR(VLOOKUP($B94,'Base de datos'!$A$3:$K$24,7,FALSE),"")</f>
        <v/>
      </c>
      <c r="J94" s="13" t="str">
        <f>IFERROR(VLOOKUP($B94,'Base de datos'!$A$3:$K$24,10,FALSE),"")</f>
        <v/>
      </c>
      <c r="K94" s="6"/>
      <c r="L94" s="4"/>
      <c r="M94" s="6" t="str">
        <f>IF(OR(OR(UPPER(IFERROR(VLOOKUP($B94,'Base de datos'!$A$3:$K$24,11,FALSE),""))="NO",ISNUMBER(SEARCH("no sometida",IFERROR(VLOOKUP($B94,'Base de datos'!$A$3:$K$24,10,FALSE),""))),ISNUMBER(SEARCH("no fiscal",IFERROR(VLOOKUP($B94,'Base de datos'!$A$3:$K$24,10,FALSE),"")))),OR(ISNUMBER(SEARCH("Hach",$B94)),ISNUMBER(SEARCH("Ketamina",$B94))),AND(IFERROR(VLOOKUP($B94,'Base de datos'!$A$3:$K$24,9,FALSE),"")&lt;&gt;"",IFERROR(VLOOKUP($B94,'Base de datos'!$A$3:$K$24,9,FALSE),"")&lt;&gt;0)),"",IFERROR($E94*$C94/$I94,""))</f>
        <v/>
      </c>
      <c r="N94" s="6" t="str">
        <f>IF(OR(OR(UPPER(IFERROR(VLOOKUP($B94,'Base de datos'!$A$3:$K$24,11,FALSE),""))="NO",ISNUMBER(SEARCH("no sometida",IFERROR(VLOOKUP($B94,'Base de datos'!$A$3:$K$24,10,FALSE),""))),ISNUMBER(SEARCH("no fiscal",IFERROR(VLOOKUP($B94,'Base de datos'!$A$3:$K$24,10,FALSE),"")))),OR(ISNUMBER(SEARCH("Hach",$B94)),ISNUMBER(SEARCH("Ketamina",$B94))),AND(IFERROR(VLOOKUP($B94,'Base de datos'!$A$3:$K$24,9,FALSE),"")&lt;&gt;"",IFERROR(VLOOKUP($B94,'Base de datos'!$A$3:$K$24,9,FALSE),"")&lt;&gt;0)),"",IFERROR($E94*$C94/IFERROR(VLOOKUP($B94,'Base de datos'!$A$3:$K$24,5,FALSE),0),""))</f>
        <v/>
      </c>
      <c r="O94" s="6" t="str">
        <f>IF(OR(OR(UPPER(IFERROR(VLOOKUP($B94,'Base de datos'!$A$3:$K$24,11,FALSE),""))="NO",ISNUMBER(SEARCH("no sometida",IFERROR(VLOOKUP($B94,'Base de datos'!$A$3:$K$24,10,FALSE),""))),ISNUMBER(SEARCH("no fiscal",IFERROR(VLOOKUP($B94,'Base de datos'!$A$3:$K$24,10,FALSE),"")))),OR(ISNUMBER(SEARCH("Hach",$B94)),ISNUMBER(SEARCH("Ketamina",$B94))),AND(IFERROR(VLOOKUP($B94,'Base de datos'!$A$3:$K$24,9,FALSE),"")&lt;&gt;"",IFERROR(VLOOKUP($B94,'Base de datos'!$A$3:$K$24,9,FALSE),"")&lt;&gt;0)),"",IFERROR((($E94*$C94/IFERROR(VLOOKUP($B94,'Base de datos'!$A$3:$K$24,3,FALSE),0))*1000)/IFERROR(VLOOKUP($B94,'Base de datos'!$A$3:$K$24,2,FALSE),0),""))</f>
        <v/>
      </c>
    </row>
    <row r="95" spans="1:15" x14ac:dyDescent="0.25">
      <c r="A95" s="4"/>
      <c r="B95" s="4"/>
      <c r="C95" s="5" t="str">
        <f>IFERROR(VLOOKUP($B95,'Base de datos'!$A$3:$K$24,3,FALSE),"")</f>
        <v/>
      </c>
      <c r="D95" s="4" t="str">
        <f t="shared" si="2"/>
        <v/>
      </c>
      <c r="E95" s="6"/>
      <c r="F95" s="7" t="str">
        <f>IF($B95="","",IF(OR(UPPER(IFERROR(VLOOKUP($B95,'Base de datos'!$A$3:$K$24,11,FALSE),""))="NO",ISNUMBER(SEARCH("no sometida",IFERROR(VLOOKUP($B95,'Base de datos'!$A$3:$K$24,10,FALSE),""))),ISNUMBER(SEARCH("no fiscal",IFERROR(VLOOKUP($B95,'Base de datos'!$A$3:$K$24,10,FALSE),"")))),"",IF(OR(OR(ISNUMBER(SEARCH("Hach",$B95)),ISNUMBER(SEARCH("Ketamina",$B95))),AND(IFERROR(VLOOKUP($B95,'Base de datos'!$A$3:$K$24,9,FALSE),"")&lt;&gt;"",IFERROR(VLOOKUP($B95,'Base de datos'!$A$3:$K$24,9,FALSE),"")&lt;&gt;0)),"",IFERROR($M95*VLOOKUP($B95,'Base de datos'!$A$3:$K$24,8,FALSE)/1000,""))))</f>
        <v/>
      </c>
      <c r="G95" s="7" t="str">
        <f>IF($B95="","",IF(OR(UPPER(IFERROR(VLOOKUP($B95,'Base de datos'!$A$3:$K$24,11,FALSE),""))="NO",ISNUMBER(SEARCH("no sometida",IFERROR(VLOOKUP($B95,'Base de datos'!$A$3:$K$24,10,FALSE),""))),ISNUMBER(SEARCH("no fiscal",IFERROR(VLOOKUP($B95,'Base de datos'!$A$3:$K$24,10,FALSE),"")))),"",IFERROR(IF(OR(ISNUMBER(SEARCH("Hach",$B95)),ISNUMBER(SEARCH("Ketamina",$B95))),IF(VLOOKUP($B95,'Base de datos'!$A$3:$K$24,6,FALSE)="","",$E95*VLOOKUP($B95,'Base de datos'!$A$3:$K$24,6,FALSE)),IF(AND(IFERROR(VLOOKUP($B95,'Base de datos'!$A$3:$K$24,9,FALSE),"")&lt;&gt;"",IFERROR(VLOOKUP($B95,'Base de datos'!$A$3:$K$24,9,FALSE),"")&lt;&gt;0),"",IF(VLOOKUP($B95,'Base de datos'!$A$3:$K$24,6,FALSE)="","",$N95*VLOOKUP($B95,'Base de datos'!$A$3:$K$24,6,FALSE)))),"")))</f>
        <v/>
      </c>
      <c r="H95" s="7" t="str">
        <f>IF($B95="","",IF(OR(UPPER(IFERROR(VLOOKUP($B95,'Base de datos'!$A$3:$K$24,11,FALSE),""))="NO",ISNUMBER(SEARCH("no sometida",IFERROR(VLOOKUP($B95,'Base de datos'!$A$3:$K$24,10,FALSE),""))),ISNUMBER(SEARCH("no fiscal",IFERROR(VLOOKUP($B95,'Base de datos'!$A$3:$K$24,10,FALSE),"")))),"",IF(OR(ISNUMBER(SEARCH("Hach",$B95)),ISNUMBER(SEARCH("Ketamina",$B95))),"",IF(AND(IFERROR(VLOOKUP($B95,'Base de datos'!$A$3:$K$24,9,FALSE),"")&lt;&gt;"",IFERROR(VLOOKUP($B95,'Base de datos'!$A$3:$K$24,9,FALSE),"")&lt;&gt;0),$E95*IFERROR(VLOOKUP($B95,'Base de datos'!$A$3:$K$24,9,FALSE),""),IFERROR($O95*VLOOKUP($B95,'Base de datos'!$A$3:$K$24,4,FALSE),"")))))</f>
        <v/>
      </c>
      <c r="I95" s="5" t="str">
        <f>IFERROR(VLOOKUP($B95,'Base de datos'!$A$3:$K$24,7,FALSE),"")</f>
        <v/>
      </c>
      <c r="J95" s="13" t="str">
        <f>IFERROR(VLOOKUP($B95,'Base de datos'!$A$3:$K$24,10,FALSE),"")</f>
        <v/>
      </c>
      <c r="K95" s="6"/>
      <c r="L95" s="4"/>
      <c r="M95" s="6" t="str">
        <f>IF(OR(OR(UPPER(IFERROR(VLOOKUP($B95,'Base de datos'!$A$3:$K$24,11,FALSE),""))="NO",ISNUMBER(SEARCH("no sometida",IFERROR(VLOOKUP($B95,'Base de datos'!$A$3:$K$24,10,FALSE),""))),ISNUMBER(SEARCH("no fiscal",IFERROR(VLOOKUP($B95,'Base de datos'!$A$3:$K$24,10,FALSE),"")))),OR(ISNUMBER(SEARCH("Hach",$B95)),ISNUMBER(SEARCH("Ketamina",$B95))),AND(IFERROR(VLOOKUP($B95,'Base de datos'!$A$3:$K$24,9,FALSE),"")&lt;&gt;"",IFERROR(VLOOKUP($B95,'Base de datos'!$A$3:$K$24,9,FALSE),"")&lt;&gt;0)),"",IFERROR($E95*$C95/$I95,""))</f>
        <v/>
      </c>
      <c r="N95" s="6" t="str">
        <f>IF(OR(OR(UPPER(IFERROR(VLOOKUP($B95,'Base de datos'!$A$3:$K$24,11,FALSE),""))="NO",ISNUMBER(SEARCH("no sometida",IFERROR(VLOOKUP($B95,'Base de datos'!$A$3:$K$24,10,FALSE),""))),ISNUMBER(SEARCH("no fiscal",IFERROR(VLOOKUP($B95,'Base de datos'!$A$3:$K$24,10,FALSE),"")))),OR(ISNUMBER(SEARCH("Hach",$B95)),ISNUMBER(SEARCH("Ketamina",$B95))),AND(IFERROR(VLOOKUP($B95,'Base de datos'!$A$3:$K$24,9,FALSE),"")&lt;&gt;"",IFERROR(VLOOKUP($B95,'Base de datos'!$A$3:$K$24,9,FALSE),"")&lt;&gt;0)),"",IFERROR($E95*$C95/IFERROR(VLOOKUP($B95,'Base de datos'!$A$3:$K$24,5,FALSE),0),""))</f>
        <v/>
      </c>
      <c r="O95" s="6" t="str">
        <f>IF(OR(OR(UPPER(IFERROR(VLOOKUP($B95,'Base de datos'!$A$3:$K$24,11,FALSE),""))="NO",ISNUMBER(SEARCH("no sometida",IFERROR(VLOOKUP($B95,'Base de datos'!$A$3:$K$24,10,FALSE),""))),ISNUMBER(SEARCH("no fiscal",IFERROR(VLOOKUP($B95,'Base de datos'!$A$3:$K$24,10,FALSE),"")))),OR(ISNUMBER(SEARCH("Hach",$B95)),ISNUMBER(SEARCH("Ketamina",$B95))),AND(IFERROR(VLOOKUP($B95,'Base de datos'!$A$3:$K$24,9,FALSE),"")&lt;&gt;"",IFERROR(VLOOKUP($B95,'Base de datos'!$A$3:$K$24,9,FALSE),"")&lt;&gt;0)),"",IFERROR((($E95*$C95/IFERROR(VLOOKUP($B95,'Base de datos'!$A$3:$K$24,3,FALSE),0))*1000)/IFERROR(VLOOKUP($B95,'Base de datos'!$A$3:$K$24,2,FALSE),0),""))</f>
        <v/>
      </c>
    </row>
    <row r="96" spans="1:15" x14ac:dyDescent="0.25">
      <c r="A96" s="4"/>
      <c r="B96" s="4"/>
      <c r="C96" s="5" t="str">
        <f>IFERROR(VLOOKUP($B96,'Base de datos'!$A$3:$K$24,3,FALSE),"")</f>
        <v/>
      </c>
      <c r="D96" s="4" t="str">
        <f t="shared" si="2"/>
        <v/>
      </c>
      <c r="E96" s="6"/>
      <c r="F96" s="7" t="str">
        <f>IF($B96="","",IF(OR(UPPER(IFERROR(VLOOKUP($B96,'Base de datos'!$A$3:$K$24,11,FALSE),""))="NO",ISNUMBER(SEARCH("no sometida",IFERROR(VLOOKUP($B96,'Base de datos'!$A$3:$K$24,10,FALSE),""))),ISNUMBER(SEARCH("no fiscal",IFERROR(VLOOKUP($B96,'Base de datos'!$A$3:$K$24,10,FALSE),"")))),"",IF(OR(OR(ISNUMBER(SEARCH("Hach",$B96)),ISNUMBER(SEARCH("Ketamina",$B96))),AND(IFERROR(VLOOKUP($B96,'Base de datos'!$A$3:$K$24,9,FALSE),"")&lt;&gt;"",IFERROR(VLOOKUP($B96,'Base de datos'!$A$3:$K$24,9,FALSE),"")&lt;&gt;0)),"",IFERROR($M96*VLOOKUP($B96,'Base de datos'!$A$3:$K$24,8,FALSE)/1000,""))))</f>
        <v/>
      </c>
      <c r="G96" s="7" t="str">
        <f>IF($B96="","",IF(OR(UPPER(IFERROR(VLOOKUP($B96,'Base de datos'!$A$3:$K$24,11,FALSE),""))="NO",ISNUMBER(SEARCH("no sometida",IFERROR(VLOOKUP($B96,'Base de datos'!$A$3:$K$24,10,FALSE),""))),ISNUMBER(SEARCH("no fiscal",IFERROR(VLOOKUP($B96,'Base de datos'!$A$3:$K$24,10,FALSE),"")))),"",IFERROR(IF(OR(ISNUMBER(SEARCH("Hach",$B96)),ISNUMBER(SEARCH("Ketamina",$B96))),IF(VLOOKUP($B96,'Base de datos'!$A$3:$K$24,6,FALSE)="","",$E96*VLOOKUP($B96,'Base de datos'!$A$3:$K$24,6,FALSE)),IF(AND(IFERROR(VLOOKUP($B96,'Base de datos'!$A$3:$K$24,9,FALSE),"")&lt;&gt;"",IFERROR(VLOOKUP($B96,'Base de datos'!$A$3:$K$24,9,FALSE),"")&lt;&gt;0),"",IF(VLOOKUP($B96,'Base de datos'!$A$3:$K$24,6,FALSE)="","",$N96*VLOOKUP($B96,'Base de datos'!$A$3:$K$24,6,FALSE)))),"")))</f>
        <v/>
      </c>
      <c r="H96" s="7" t="str">
        <f>IF($B96="","",IF(OR(UPPER(IFERROR(VLOOKUP($B96,'Base de datos'!$A$3:$K$24,11,FALSE),""))="NO",ISNUMBER(SEARCH("no sometida",IFERROR(VLOOKUP($B96,'Base de datos'!$A$3:$K$24,10,FALSE),""))),ISNUMBER(SEARCH("no fiscal",IFERROR(VLOOKUP($B96,'Base de datos'!$A$3:$K$24,10,FALSE),"")))),"",IF(OR(ISNUMBER(SEARCH("Hach",$B96)),ISNUMBER(SEARCH("Ketamina",$B96))),"",IF(AND(IFERROR(VLOOKUP($B96,'Base de datos'!$A$3:$K$24,9,FALSE),"")&lt;&gt;"",IFERROR(VLOOKUP($B96,'Base de datos'!$A$3:$K$24,9,FALSE),"")&lt;&gt;0),$E96*IFERROR(VLOOKUP($B96,'Base de datos'!$A$3:$K$24,9,FALSE),""),IFERROR($O96*VLOOKUP($B96,'Base de datos'!$A$3:$K$24,4,FALSE),"")))))</f>
        <v/>
      </c>
      <c r="I96" s="5" t="str">
        <f>IFERROR(VLOOKUP($B96,'Base de datos'!$A$3:$K$24,7,FALSE),"")</f>
        <v/>
      </c>
      <c r="J96" s="13" t="str">
        <f>IFERROR(VLOOKUP($B96,'Base de datos'!$A$3:$K$24,10,FALSE),"")</f>
        <v/>
      </c>
      <c r="K96" s="6"/>
      <c r="L96" s="4"/>
      <c r="M96" s="6" t="str">
        <f>IF(OR(OR(UPPER(IFERROR(VLOOKUP($B96,'Base de datos'!$A$3:$K$24,11,FALSE),""))="NO",ISNUMBER(SEARCH("no sometida",IFERROR(VLOOKUP($B96,'Base de datos'!$A$3:$K$24,10,FALSE),""))),ISNUMBER(SEARCH("no fiscal",IFERROR(VLOOKUP($B96,'Base de datos'!$A$3:$K$24,10,FALSE),"")))),OR(ISNUMBER(SEARCH("Hach",$B96)),ISNUMBER(SEARCH("Ketamina",$B96))),AND(IFERROR(VLOOKUP($B96,'Base de datos'!$A$3:$K$24,9,FALSE),"")&lt;&gt;"",IFERROR(VLOOKUP($B96,'Base de datos'!$A$3:$K$24,9,FALSE),"")&lt;&gt;0)),"",IFERROR($E96*$C96/$I96,""))</f>
        <v/>
      </c>
      <c r="N96" s="6" t="str">
        <f>IF(OR(OR(UPPER(IFERROR(VLOOKUP($B96,'Base de datos'!$A$3:$K$24,11,FALSE),""))="NO",ISNUMBER(SEARCH("no sometida",IFERROR(VLOOKUP($B96,'Base de datos'!$A$3:$K$24,10,FALSE),""))),ISNUMBER(SEARCH("no fiscal",IFERROR(VLOOKUP($B96,'Base de datos'!$A$3:$K$24,10,FALSE),"")))),OR(ISNUMBER(SEARCH("Hach",$B96)),ISNUMBER(SEARCH("Ketamina",$B96))),AND(IFERROR(VLOOKUP($B96,'Base de datos'!$A$3:$K$24,9,FALSE),"")&lt;&gt;"",IFERROR(VLOOKUP($B96,'Base de datos'!$A$3:$K$24,9,FALSE),"")&lt;&gt;0)),"",IFERROR($E96*$C96/IFERROR(VLOOKUP($B96,'Base de datos'!$A$3:$K$24,5,FALSE),0),""))</f>
        <v/>
      </c>
      <c r="O96" s="6" t="str">
        <f>IF(OR(OR(UPPER(IFERROR(VLOOKUP($B96,'Base de datos'!$A$3:$K$24,11,FALSE),""))="NO",ISNUMBER(SEARCH("no sometida",IFERROR(VLOOKUP($B96,'Base de datos'!$A$3:$K$24,10,FALSE),""))),ISNUMBER(SEARCH("no fiscal",IFERROR(VLOOKUP($B96,'Base de datos'!$A$3:$K$24,10,FALSE),"")))),OR(ISNUMBER(SEARCH("Hach",$B96)),ISNUMBER(SEARCH("Ketamina",$B96))),AND(IFERROR(VLOOKUP($B96,'Base de datos'!$A$3:$K$24,9,FALSE),"")&lt;&gt;"",IFERROR(VLOOKUP($B96,'Base de datos'!$A$3:$K$24,9,FALSE),"")&lt;&gt;0)),"",IFERROR((($E96*$C96/IFERROR(VLOOKUP($B96,'Base de datos'!$A$3:$K$24,3,FALSE),0))*1000)/IFERROR(VLOOKUP($B96,'Base de datos'!$A$3:$K$24,2,FALSE),0),""))</f>
        <v/>
      </c>
    </row>
    <row r="97" spans="1:15" x14ac:dyDescent="0.25">
      <c r="A97" s="4"/>
      <c r="B97" s="4"/>
      <c r="C97" s="5" t="str">
        <f>IFERROR(VLOOKUP($B97,'Base de datos'!$A$3:$K$24,3,FALSE),"")</f>
        <v/>
      </c>
      <c r="D97" s="4" t="str">
        <f t="shared" si="2"/>
        <v/>
      </c>
      <c r="E97" s="6"/>
      <c r="F97" s="7" t="str">
        <f>IF($B97="","",IF(OR(UPPER(IFERROR(VLOOKUP($B97,'Base de datos'!$A$3:$K$24,11,FALSE),""))="NO",ISNUMBER(SEARCH("no sometida",IFERROR(VLOOKUP($B97,'Base de datos'!$A$3:$K$24,10,FALSE),""))),ISNUMBER(SEARCH("no fiscal",IFERROR(VLOOKUP($B97,'Base de datos'!$A$3:$K$24,10,FALSE),"")))),"",IF(OR(OR(ISNUMBER(SEARCH("Hach",$B97)),ISNUMBER(SEARCH("Ketamina",$B97))),AND(IFERROR(VLOOKUP($B97,'Base de datos'!$A$3:$K$24,9,FALSE),"")&lt;&gt;"",IFERROR(VLOOKUP($B97,'Base de datos'!$A$3:$K$24,9,FALSE),"")&lt;&gt;0)),"",IFERROR($M97*VLOOKUP($B97,'Base de datos'!$A$3:$K$24,8,FALSE)/1000,""))))</f>
        <v/>
      </c>
      <c r="G97" s="7" t="str">
        <f>IF($B97="","",IF(OR(UPPER(IFERROR(VLOOKUP($B97,'Base de datos'!$A$3:$K$24,11,FALSE),""))="NO",ISNUMBER(SEARCH("no sometida",IFERROR(VLOOKUP($B97,'Base de datos'!$A$3:$K$24,10,FALSE),""))),ISNUMBER(SEARCH("no fiscal",IFERROR(VLOOKUP($B97,'Base de datos'!$A$3:$K$24,10,FALSE),"")))),"",IFERROR(IF(OR(ISNUMBER(SEARCH("Hach",$B97)),ISNUMBER(SEARCH("Ketamina",$B97))),IF(VLOOKUP($B97,'Base de datos'!$A$3:$K$24,6,FALSE)="","",$E97*VLOOKUP($B97,'Base de datos'!$A$3:$K$24,6,FALSE)),IF(AND(IFERROR(VLOOKUP($B97,'Base de datos'!$A$3:$K$24,9,FALSE),"")&lt;&gt;"",IFERROR(VLOOKUP($B97,'Base de datos'!$A$3:$K$24,9,FALSE),"")&lt;&gt;0),"",IF(VLOOKUP($B97,'Base de datos'!$A$3:$K$24,6,FALSE)="","",$N97*VLOOKUP($B97,'Base de datos'!$A$3:$K$24,6,FALSE)))),"")))</f>
        <v/>
      </c>
      <c r="H97" s="7" t="str">
        <f>IF($B97="","",IF(OR(UPPER(IFERROR(VLOOKUP($B97,'Base de datos'!$A$3:$K$24,11,FALSE),""))="NO",ISNUMBER(SEARCH("no sometida",IFERROR(VLOOKUP($B97,'Base de datos'!$A$3:$K$24,10,FALSE),""))),ISNUMBER(SEARCH("no fiscal",IFERROR(VLOOKUP($B97,'Base de datos'!$A$3:$K$24,10,FALSE),"")))),"",IF(OR(ISNUMBER(SEARCH("Hach",$B97)),ISNUMBER(SEARCH("Ketamina",$B97))),"",IF(AND(IFERROR(VLOOKUP($B97,'Base de datos'!$A$3:$K$24,9,FALSE),"")&lt;&gt;"",IFERROR(VLOOKUP($B97,'Base de datos'!$A$3:$K$24,9,FALSE),"")&lt;&gt;0),$E97*IFERROR(VLOOKUP($B97,'Base de datos'!$A$3:$K$24,9,FALSE),""),IFERROR($O97*VLOOKUP($B97,'Base de datos'!$A$3:$K$24,4,FALSE),"")))))</f>
        <v/>
      </c>
      <c r="I97" s="5" t="str">
        <f>IFERROR(VLOOKUP($B97,'Base de datos'!$A$3:$K$24,7,FALSE),"")</f>
        <v/>
      </c>
      <c r="J97" s="13" t="str">
        <f>IFERROR(VLOOKUP($B97,'Base de datos'!$A$3:$K$24,10,FALSE),"")</f>
        <v/>
      </c>
      <c r="K97" s="6"/>
      <c r="L97" s="4"/>
      <c r="M97" s="6" t="str">
        <f>IF(OR(OR(UPPER(IFERROR(VLOOKUP($B97,'Base de datos'!$A$3:$K$24,11,FALSE),""))="NO",ISNUMBER(SEARCH("no sometida",IFERROR(VLOOKUP($B97,'Base de datos'!$A$3:$K$24,10,FALSE),""))),ISNUMBER(SEARCH("no fiscal",IFERROR(VLOOKUP($B97,'Base de datos'!$A$3:$K$24,10,FALSE),"")))),OR(ISNUMBER(SEARCH("Hach",$B97)),ISNUMBER(SEARCH("Ketamina",$B97))),AND(IFERROR(VLOOKUP($B97,'Base de datos'!$A$3:$K$24,9,FALSE),"")&lt;&gt;"",IFERROR(VLOOKUP($B97,'Base de datos'!$A$3:$K$24,9,FALSE),"")&lt;&gt;0)),"",IFERROR($E97*$C97/$I97,""))</f>
        <v/>
      </c>
      <c r="N97" s="6" t="str">
        <f>IF(OR(OR(UPPER(IFERROR(VLOOKUP($B97,'Base de datos'!$A$3:$K$24,11,FALSE),""))="NO",ISNUMBER(SEARCH("no sometida",IFERROR(VLOOKUP($B97,'Base de datos'!$A$3:$K$24,10,FALSE),""))),ISNUMBER(SEARCH("no fiscal",IFERROR(VLOOKUP($B97,'Base de datos'!$A$3:$K$24,10,FALSE),"")))),OR(ISNUMBER(SEARCH("Hach",$B97)),ISNUMBER(SEARCH("Ketamina",$B97))),AND(IFERROR(VLOOKUP($B97,'Base de datos'!$A$3:$K$24,9,FALSE),"")&lt;&gt;"",IFERROR(VLOOKUP($B97,'Base de datos'!$A$3:$K$24,9,FALSE),"")&lt;&gt;0)),"",IFERROR($E97*$C97/IFERROR(VLOOKUP($B97,'Base de datos'!$A$3:$K$24,5,FALSE),0),""))</f>
        <v/>
      </c>
      <c r="O97" s="6" t="str">
        <f>IF(OR(OR(UPPER(IFERROR(VLOOKUP($B97,'Base de datos'!$A$3:$K$24,11,FALSE),""))="NO",ISNUMBER(SEARCH("no sometida",IFERROR(VLOOKUP($B97,'Base de datos'!$A$3:$K$24,10,FALSE),""))),ISNUMBER(SEARCH("no fiscal",IFERROR(VLOOKUP($B97,'Base de datos'!$A$3:$K$24,10,FALSE),"")))),OR(ISNUMBER(SEARCH("Hach",$B97)),ISNUMBER(SEARCH("Ketamina",$B97))),AND(IFERROR(VLOOKUP($B97,'Base de datos'!$A$3:$K$24,9,FALSE),"")&lt;&gt;"",IFERROR(VLOOKUP($B97,'Base de datos'!$A$3:$K$24,9,FALSE),"")&lt;&gt;0)),"",IFERROR((($E97*$C97/IFERROR(VLOOKUP($B97,'Base de datos'!$A$3:$K$24,3,FALSE),0))*1000)/IFERROR(VLOOKUP($B97,'Base de datos'!$A$3:$K$24,2,FALSE),0),""))</f>
        <v/>
      </c>
    </row>
    <row r="98" spans="1:15" x14ac:dyDescent="0.25">
      <c r="A98" s="4"/>
      <c r="B98" s="4"/>
      <c r="C98" s="5" t="str">
        <f>IFERROR(VLOOKUP($B98,'Base de datos'!$A$3:$K$24,3,FALSE),"")</f>
        <v/>
      </c>
      <c r="D98" s="4" t="str">
        <f t="shared" si="2"/>
        <v/>
      </c>
      <c r="E98" s="6"/>
      <c r="F98" s="7" t="str">
        <f>IF($B98="","",IF(OR(UPPER(IFERROR(VLOOKUP($B98,'Base de datos'!$A$3:$K$24,11,FALSE),""))="NO",ISNUMBER(SEARCH("no sometida",IFERROR(VLOOKUP($B98,'Base de datos'!$A$3:$K$24,10,FALSE),""))),ISNUMBER(SEARCH("no fiscal",IFERROR(VLOOKUP($B98,'Base de datos'!$A$3:$K$24,10,FALSE),"")))),"",IF(OR(OR(ISNUMBER(SEARCH("Hach",$B98)),ISNUMBER(SEARCH("Ketamina",$B98))),AND(IFERROR(VLOOKUP($B98,'Base de datos'!$A$3:$K$24,9,FALSE),"")&lt;&gt;"",IFERROR(VLOOKUP($B98,'Base de datos'!$A$3:$K$24,9,FALSE),"")&lt;&gt;0)),"",IFERROR($M98*VLOOKUP($B98,'Base de datos'!$A$3:$K$24,8,FALSE)/1000,""))))</f>
        <v/>
      </c>
      <c r="G98" s="7" t="str">
        <f>IF($B98="","",IF(OR(UPPER(IFERROR(VLOOKUP($B98,'Base de datos'!$A$3:$K$24,11,FALSE),""))="NO",ISNUMBER(SEARCH("no sometida",IFERROR(VLOOKUP($B98,'Base de datos'!$A$3:$K$24,10,FALSE),""))),ISNUMBER(SEARCH("no fiscal",IFERROR(VLOOKUP($B98,'Base de datos'!$A$3:$K$24,10,FALSE),"")))),"",IFERROR(IF(OR(ISNUMBER(SEARCH("Hach",$B98)),ISNUMBER(SEARCH("Ketamina",$B98))),IF(VLOOKUP($B98,'Base de datos'!$A$3:$K$24,6,FALSE)="","",$E98*VLOOKUP($B98,'Base de datos'!$A$3:$K$24,6,FALSE)),IF(AND(IFERROR(VLOOKUP($B98,'Base de datos'!$A$3:$K$24,9,FALSE),"")&lt;&gt;"",IFERROR(VLOOKUP($B98,'Base de datos'!$A$3:$K$24,9,FALSE),"")&lt;&gt;0),"",IF(VLOOKUP($B98,'Base de datos'!$A$3:$K$24,6,FALSE)="","",$N98*VLOOKUP($B98,'Base de datos'!$A$3:$K$24,6,FALSE)))),"")))</f>
        <v/>
      </c>
      <c r="H98" s="7" t="str">
        <f>IF($B98="","",IF(OR(UPPER(IFERROR(VLOOKUP($B98,'Base de datos'!$A$3:$K$24,11,FALSE),""))="NO",ISNUMBER(SEARCH("no sometida",IFERROR(VLOOKUP($B98,'Base de datos'!$A$3:$K$24,10,FALSE),""))),ISNUMBER(SEARCH("no fiscal",IFERROR(VLOOKUP($B98,'Base de datos'!$A$3:$K$24,10,FALSE),"")))),"",IF(OR(ISNUMBER(SEARCH("Hach",$B98)),ISNUMBER(SEARCH("Ketamina",$B98))),"",IF(AND(IFERROR(VLOOKUP($B98,'Base de datos'!$A$3:$K$24,9,FALSE),"")&lt;&gt;"",IFERROR(VLOOKUP($B98,'Base de datos'!$A$3:$K$24,9,FALSE),"")&lt;&gt;0),$E98*IFERROR(VLOOKUP($B98,'Base de datos'!$A$3:$K$24,9,FALSE),""),IFERROR($O98*VLOOKUP($B98,'Base de datos'!$A$3:$K$24,4,FALSE),"")))))</f>
        <v/>
      </c>
      <c r="I98" s="5" t="str">
        <f>IFERROR(VLOOKUP($B98,'Base de datos'!$A$3:$K$24,7,FALSE),"")</f>
        <v/>
      </c>
      <c r="J98" s="13" t="str">
        <f>IFERROR(VLOOKUP($B98,'Base de datos'!$A$3:$K$24,10,FALSE),"")</f>
        <v/>
      </c>
      <c r="K98" s="6"/>
      <c r="L98" s="4"/>
      <c r="M98" s="6" t="str">
        <f>IF(OR(OR(UPPER(IFERROR(VLOOKUP($B98,'Base de datos'!$A$3:$K$24,11,FALSE),""))="NO",ISNUMBER(SEARCH("no sometida",IFERROR(VLOOKUP($B98,'Base de datos'!$A$3:$K$24,10,FALSE),""))),ISNUMBER(SEARCH("no fiscal",IFERROR(VLOOKUP($B98,'Base de datos'!$A$3:$K$24,10,FALSE),"")))),OR(ISNUMBER(SEARCH("Hach",$B98)),ISNUMBER(SEARCH("Ketamina",$B98))),AND(IFERROR(VLOOKUP($B98,'Base de datos'!$A$3:$K$24,9,FALSE),"")&lt;&gt;"",IFERROR(VLOOKUP($B98,'Base de datos'!$A$3:$K$24,9,FALSE),"")&lt;&gt;0)),"",IFERROR($E98*$C98/$I98,""))</f>
        <v/>
      </c>
      <c r="N98" s="6" t="str">
        <f>IF(OR(OR(UPPER(IFERROR(VLOOKUP($B98,'Base de datos'!$A$3:$K$24,11,FALSE),""))="NO",ISNUMBER(SEARCH("no sometida",IFERROR(VLOOKUP($B98,'Base de datos'!$A$3:$K$24,10,FALSE),""))),ISNUMBER(SEARCH("no fiscal",IFERROR(VLOOKUP($B98,'Base de datos'!$A$3:$K$24,10,FALSE),"")))),OR(ISNUMBER(SEARCH("Hach",$B98)),ISNUMBER(SEARCH("Ketamina",$B98))),AND(IFERROR(VLOOKUP($B98,'Base de datos'!$A$3:$K$24,9,FALSE),"")&lt;&gt;"",IFERROR(VLOOKUP($B98,'Base de datos'!$A$3:$K$24,9,FALSE),"")&lt;&gt;0)),"",IFERROR($E98*$C98/IFERROR(VLOOKUP($B98,'Base de datos'!$A$3:$K$24,5,FALSE),0),""))</f>
        <v/>
      </c>
      <c r="O98" s="6" t="str">
        <f>IF(OR(OR(UPPER(IFERROR(VLOOKUP($B98,'Base de datos'!$A$3:$K$24,11,FALSE),""))="NO",ISNUMBER(SEARCH("no sometida",IFERROR(VLOOKUP($B98,'Base de datos'!$A$3:$K$24,10,FALSE),""))),ISNUMBER(SEARCH("no fiscal",IFERROR(VLOOKUP($B98,'Base de datos'!$A$3:$K$24,10,FALSE),"")))),OR(ISNUMBER(SEARCH("Hach",$B98)),ISNUMBER(SEARCH("Ketamina",$B98))),AND(IFERROR(VLOOKUP($B98,'Base de datos'!$A$3:$K$24,9,FALSE),"")&lt;&gt;"",IFERROR(VLOOKUP($B98,'Base de datos'!$A$3:$K$24,9,FALSE),"")&lt;&gt;0)),"",IFERROR((($E98*$C98/IFERROR(VLOOKUP($B98,'Base de datos'!$A$3:$K$24,3,FALSE),0))*1000)/IFERROR(VLOOKUP($B98,'Base de datos'!$A$3:$K$24,2,FALSE),0),""))</f>
        <v/>
      </c>
    </row>
    <row r="99" spans="1:15" x14ac:dyDescent="0.25">
      <c r="A99" s="4"/>
      <c r="B99" s="4"/>
      <c r="C99" s="5" t="str">
        <f>IFERROR(VLOOKUP($B99,'Base de datos'!$A$3:$K$24,3,FALSE),"")</f>
        <v/>
      </c>
      <c r="D99" s="4" t="str">
        <f t="shared" si="2"/>
        <v/>
      </c>
      <c r="E99" s="6"/>
      <c r="F99" s="7" t="str">
        <f>IF($B99="","",IF(OR(UPPER(IFERROR(VLOOKUP($B99,'Base de datos'!$A$3:$K$24,11,FALSE),""))="NO",ISNUMBER(SEARCH("no sometida",IFERROR(VLOOKUP($B99,'Base de datos'!$A$3:$K$24,10,FALSE),""))),ISNUMBER(SEARCH("no fiscal",IFERROR(VLOOKUP($B99,'Base de datos'!$A$3:$K$24,10,FALSE),"")))),"",IF(OR(OR(ISNUMBER(SEARCH("Hach",$B99)),ISNUMBER(SEARCH("Ketamina",$B99))),AND(IFERROR(VLOOKUP($B99,'Base de datos'!$A$3:$K$24,9,FALSE),"")&lt;&gt;"",IFERROR(VLOOKUP($B99,'Base de datos'!$A$3:$K$24,9,FALSE),"")&lt;&gt;0)),"",IFERROR($M99*VLOOKUP($B99,'Base de datos'!$A$3:$K$24,8,FALSE)/1000,""))))</f>
        <v/>
      </c>
      <c r="G99" s="7" t="str">
        <f>IF($B99="","",IF(OR(UPPER(IFERROR(VLOOKUP($B99,'Base de datos'!$A$3:$K$24,11,FALSE),""))="NO",ISNUMBER(SEARCH("no sometida",IFERROR(VLOOKUP($B99,'Base de datos'!$A$3:$K$24,10,FALSE),""))),ISNUMBER(SEARCH("no fiscal",IFERROR(VLOOKUP($B99,'Base de datos'!$A$3:$K$24,10,FALSE),"")))),"",IFERROR(IF(OR(ISNUMBER(SEARCH("Hach",$B99)),ISNUMBER(SEARCH("Ketamina",$B99))),IF(VLOOKUP($B99,'Base de datos'!$A$3:$K$24,6,FALSE)="","",$E99*VLOOKUP($B99,'Base de datos'!$A$3:$K$24,6,FALSE)),IF(AND(IFERROR(VLOOKUP($B99,'Base de datos'!$A$3:$K$24,9,FALSE),"")&lt;&gt;"",IFERROR(VLOOKUP($B99,'Base de datos'!$A$3:$K$24,9,FALSE),"")&lt;&gt;0),"",IF(VLOOKUP($B99,'Base de datos'!$A$3:$K$24,6,FALSE)="","",$N99*VLOOKUP($B99,'Base de datos'!$A$3:$K$24,6,FALSE)))),"")))</f>
        <v/>
      </c>
      <c r="H99" s="7" t="str">
        <f>IF($B99="","",IF(OR(UPPER(IFERROR(VLOOKUP($B99,'Base de datos'!$A$3:$K$24,11,FALSE),""))="NO",ISNUMBER(SEARCH("no sometida",IFERROR(VLOOKUP($B99,'Base de datos'!$A$3:$K$24,10,FALSE),""))),ISNUMBER(SEARCH("no fiscal",IFERROR(VLOOKUP($B99,'Base de datos'!$A$3:$K$24,10,FALSE),"")))),"",IF(OR(ISNUMBER(SEARCH("Hach",$B99)),ISNUMBER(SEARCH("Ketamina",$B99))),"",IF(AND(IFERROR(VLOOKUP($B99,'Base de datos'!$A$3:$K$24,9,FALSE),"")&lt;&gt;"",IFERROR(VLOOKUP($B99,'Base de datos'!$A$3:$K$24,9,FALSE),"")&lt;&gt;0),$E99*IFERROR(VLOOKUP($B99,'Base de datos'!$A$3:$K$24,9,FALSE),""),IFERROR($O99*VLOOKUP($B99,'Base de datos'!$A$3:$K$24,4,FALSE),"")))))</f>
        <v/>
      </c>
      <c r="I99" s="5" t="str">
        <f>IFERROR(VLOOKUP($B99,'Base de datos'!$A$3:$K$24,7,FALSE),"")</f>
        <v/>
      </c>
      <c r="J99" s="13" t="str">
        <f>IFERROR(VLOOKUP($B99,'Base de datos'!$A$3:$K$24,10,FALSE),"")</f>
        <v/>
      </c>
      <c r="K99" s="6"/>
      <c r="L99" s="4"/>
      <c r="M99" s="6" t="str">
        <f>IF(OR(OR(UPPER(IFERROR(VLOOKUP($B99,'Base de datos'!$A$3:$K$24,11,FALSE),""))="NO",ISNUMBER(SEARCH("no sometida",IFERROR(VLOOKUP($B99,'Base de datos'!$A$3:$K$24,10,FALSE),""))),ISNUMBER(SEARCH("no fiscal",IFERROR(VLOOKUP($B99,'Base de datos'!$A$3:$K$24,10,FALSE),"")))),OR(ISNUMBER(SEARCH("Hach",$B99)),ISNUMBER(SEARCH("Ketamina",$B99))),AND(IFERROR(VLOOKUP($B99,'Base de datos'!$A$3:$K$24,9,FALSE),"")&lt;&gt;"",IFERROR(VLOOKUP($B99,'Base de datos'!$A$3:$K$24,9,FALSE),"")&lt;&gt;0)),"",IFERROR($E99*$C99/$I99,""))</f>
        <v/>
      </c>
      <c r="N99" s="6" t="str">
        <f>IF(OR(OR(UPPER(IFERROR(VLOOKUP($B99,'Base de datos'!$A$3:$K$24,11,FALSE),""))="NO",ISNUMBER(SEARCH("no sometida",IFERROR(VLOOKUP($B99,'Base de datos'!$A$3:$K$24,10,FALSE),""))),ISNUMBER(SEARCH("no fiscal",IFERROR(VLOOKUP($B99,'Base de datos'!$A$3:$K$24,10,FALSE),"")))),OR(ISNUMBER(SEARCH("Hach",$B99)),ISNUMBER(SEARCH("Ketamina",$B99))),AND(IFERROR(VLOOKUP($B99,'Base de datos'!$A$3:$K$24,9,FALSE),"")&lt;&gt;"",IFERROR(VLOOKUP($B99,'Base de datos'!$A$3:$K$24,9,FALSE),"")&lt;&gt;0)),"",IFERROR($E99*$C99/IFERROR(VLOOKUP($B99,'Base de datos'!$A$3:$K$24,5,FALSE),0),""))</f>
        <v/>
      </c>
      <c r="O99" s="6" t="str">
        <f>IF(OR(OR(UPPER(IFERROR(VLOOKUP($B99,'Base de datos'!$A$3:$K$24,11,FALSE),""))="NO",ISNUMBER(SEARCH("no sometida",IFERROR(VLOOKUP($B99,'Base de datos'!$A$3:$K$24,10,FALSE),""))),ISNUMBER(SEARCH("no fiscal",IFERROR(VLOOKUP($B99,'Base de datos'!$A$3:$K$24,10,FALSE),"")))),OR(ISNUMBER(SEARCH("Hach",$B99)),ISNUMBER(SEARCH("Ketamina",$B99))),AND(IFERROR(VLOOKUP($B99,'Base de datos'!$A$3:$K$24,9,FALSE),"")&lt;&gt;"",IFERROR(VLOOKUP($B99,'Base de datos'!$A$3:$K$24,9,FALSE),"")&lt;&gt;0)),"",IFERROR((($E99*$C99/IFERROR(VLOOKUP($B99,'Base de datos'!$A$3:$K$24,3,FALSE),0))*1000)/IFERROR(VLOOKUP($B99,'Base de datos'!$A$3:$K$24,2,FALSE),0),""))</f>
        <v/>
      </c>
    </row>
    <row r="100" spans="1:15" x14ac:dyDescent="0.25">
      <c r="A100" s="4"/>
      <c r="B100" s="4"/>
      <c r="C100" s="5" t="str">
        <f>IFERROR(VLOOKUP($B100,'Base de datos'!$A$3:$K$24,3,FALSE),"")</f>
        <v/>
      </c>
      <c r="D100" s="4" t="str">
        <f t="shared" si="2"/>
        <v/>
      </c>
      <c r="E100" s="6"/>
      <c r="F100" s="7" t="str">
        <f>IF($B100="","",IF(OR(UPPER(IFERROR(VLOOKUP($B100,'Base de datos'!$A$3:$K$24,11,FALSE),""))="NO",ISNUMBER(SEARCH("no sometida",IFERROR(VLOOKUP($B100,'Base de datos'!$A$3:$K$24,10,FALSE),""))),ISNUMBER(SEARCH("no fiscal",IFERROR(VLOOKUP($B100,'Base de datos'!$A$3:$K$24,10,FALSE),"")))),"",IF(OR(OR(ISNUMBER(SEARCH("Hach",$B100)),ISNUMBER(SEARCH("Ketamina",$B100))),AND(IFERROR(VLOOKUP($B100,'Base de datos'!$A$3:$K$24,9,FALSE),"")&lt;&gt;"",IFERROR(VLOOKUP($B100,'Base de datos'!$A$3:$K$24,9,FALSE),"")&lt;&gt;0)),"",IFERROR($M100*VLOOKUP($B100,'Base de datos'!$A$3:$K$24,8,FALSE)/1000,""))))</f>
        <v/>
      </c>
      <c r="G100" s="7" t="str">
        <f>IF($B100="","",IF(OR(UPPER(IFERROR(VLOOKUP($B100,'Base de datos'!$A$3:$K$24,11,FALSE),""))="NO",ISNUMBER(SEARCH("no sometida",IFERROR(VLOOKUP($B100,'Base de datos'!$A$3:$K$24,10,FALSE),""))),ISNUMBER(SEARCH("no fiscal",IFERROR(VLOOKUP($B100,'Base de datos'!$A$3:$K$24,10,FALSE),"")))),"",IFERROR(IF(OR(ISNUMBER(SEARCH("Hach",$B100)),ISNUMBER(SEARCH("Ketamina",$B100))),IF(VLOOKUP($B100,'Base de datos'!$A$3:$K$24,6,FALSE)="","",$E100*VLOOKUP($B100,'Base de datos'!$A$3:$K$24,6,FALSE)),IF(AND(IFERROR(VLOOKUP($B100,'Base de datos'!$A$3:$K$24,9,FALSE),"")&lt;&gt;"",IFERROR(VLOOKUP($B100,'Base de datos'!$A$3:$K$24,9,FALSE),"")&lt;&gt;0),"",IF(VLOOKUP($B100,'Base de datos'!$A$3:$K$24,6,FALSE)="","",$N100*VLOOKUP($B100,'Base de datos'!$A$3:$K$24,6,FALSE)))),"")))</f>
        <v/>
      </c>
      <c r="H100" s="7" t="str">
        <f>IF($B100="","",IF(OR(UPPER(IFERROR(VLOOKUP($B100,'Base de datos'!$A$3:$K$24,11,FALSE),""))="NO",ISNUMBER(SEARCH("no sometida",IFERROR(VLOOKUP($B100,'Base de datos'!$A$3:$K$24,10,FALSE),""))),ISNUMBER(SEARCH("no fiscal",IFERROR(VLOOKUP($B100,'Base de datos'!$A$3:$K$24,10,FALSE),"")))),"",IF(OR(ISNUMBER(SEARCH("Hach",$B100)),ISNUMBER(SEARCH("Ketamina",$B100))),"",IF(AND(IFERROR(VLOOKUP($B100,'Base de datos'!$A$3:$K$24,9,FALSE),"")&lt;&gt;"",IFERROR(VLOOKUP($B100,'Base de datos'!$A$3:$K$24,9,FALSE),"")&lt;&gt;0),$E100*IFERROR(VLOOKUP($B100,'Base de datos'!$A$3:$K$24,9,FALSE),""),IFERROR($O100*VLOOKUP($B100,'Base de datos'!$A$3:$K$24,4,FALSE),"")))))</f>
        <v/>
      </c>
      <c r="I100" s="5" t="str">
        <f>IFERROR(VLOOKUP($B100,'Base de datos'!$A$3:$K$24,7,FALSE),"")</f>
        <v/>
      </c>
      <c r="J100" s="13" t="str">
        <f>IFERROR(VLOOKUP($B100,'Base de datos'!$A$3:$K$24,10,FALSE),"")</f>
        <v/>
      </c>
      <c r="K100" s="6"/>
      <c r="L100" s="4"/>
      <c r="M100" s="6" t="str">
        <f>IF(OR(OR(UPPER(IFERROR(VLOOKUP($B100,'Base de datos'!$A$3:$K$24,11,FALSE),""))="NO",ISNUMBER(SEARCH("no sometida",IFERROR(VLOOKUP($B100,'Base de datos'!$A$3:$K$24,10,FALSE),""))),ISNUMBER(SEARCH("no fiscal",IFERROR(VLOOKUP($B100,'Base de datos'!$A$3:$K$24,10,FALSE),"")))),OR(ISNUMBER(SEARCH("Hach",$B100)),ISNUMBER(SEARCH("Ketamina",$B100))),AND(IFERROR(VLOOKUP($B100,'Base de datos'!$A$3:$K$24,9,FALSE),"")&lt;&gt;"",IFERROR(VLOOKUP($B100,'Base de datos'!$A$3:$K$24,9,FALSE),"")&lt;&gt;0)),"",IFERROR($E100*$C100/$I100,""))</f>
        <v/>
      </c>
      <c r="N100" s="6" t="str">
        <f>IF(OR(OR(UPPER(IFERROR(VLOOKUP($B100,'Base de datos'!$A$3:$K$24,11,FALSE),""))="NO",ISNUMBER(SEARCH("no sometida",IFERROR(VLOOKUP($B100,'Base de datos'!$A$3:$K$24,10,FALSE),""))),ISNUMBER(SEARCH("no fiscal",IFERROR(VLOOKUP($B100,'Base de datos'!$A$3:$K$24,10,FALSE),"")))),OR(ISNUMBER(SEARCH("Hach",$B100)),ISNUMBER(SEARCH("Ketamina",$B100))),AND(IFERROR(VLOOKUP($B100,'Base de datos'!$A$3:$K$24,9,FALSE),"")&lt;&gt;"",IFERROR(VLOOKUP($B100,'Base de datos'!$A$3:$K$24,9,FALSE),"")&lt;&gt;0)),"",IFERROR($E100*$C100/IFERROR(VLOOKUP($B100,'Base de datos'!$A$3:$K$24,5,FALSE),0),""))</f>
        <v/>
      </c>
      <c r="O100" s="6" t="str">
        <f>IF(OR(OR(UPPER(IFERROR(VLOOKUP($B100,'Base de datos'!$A$3:$K$24,11,FALSE),""))="NO",ISNUMBER(SEARCH("no sometida",IFERROR(VLOOKUP($B100,'Base de datos'!$A$3:$K$24,10,FALSE),""))),ISNUMBER(SEARCH("no fiscal",IFERROR(VLOOKUP($B100,'Base de datos'!$A$3:$K$24,10,FALSE),"")))),OR(ISNUMBER(SEARCH("Hach",$B100)),ISNUMBER(SEARCH("Ketamina",$B100))),AND(IFERROR(VLOOKUP($B100,'Base de datos'!$A$3:$K$24,9,FALSE),"")&lt;&gt;"",IFERROR(VLOOKUP($B100,'Base de datos'!$A$3:$K$24,9,FALSE),"")&lt;&gt;0)),"",IFERROR((($E100*$C100/IFERROR(VLOOKUP($B100,'Base de datos'!$A$3:$K$24,3,FALSE),0))*1000)/IFERROR(VLOOKUP($B100,'Base de datos'!$A$3:$K$24,2,FALSE),0),""))</f>
        <v/>
      </c>
    </row>
    <row r="101" spans="1:15" x14ac:dyDescent="0.25">
      <c r="A101" s="4"/>
      <c r="B101" s="4"/>
      <c r="C101" s="5" t="str">
        <f>IFERROR(VLOOKUP($B101,'Base de datos'!$A$3:$K$24,3,FALSE),"")</f>
        <v/>
      </c>
      <c r="D101" s="4" t="str">
        <f t="shared" ref="D101:D132" si="3">IF($B101="","",$B101)</f>
        <v/>
      </c>
      <c r="E101" s="6"/>
      <c r="F101" s="7" t="str">
        <f>IF($B101="","",IF(OR(UPPER(IFERROR(VLOOKUP($B101,'Base de datos'!$A$3:$K$24,11,FALSE),""))="NO",ISNUMBER(SEARCH("no sometida",IFERROR(VLOOKUP($B101,'Base de datos'!$A$3:$K$24,10,FALSE),""))),ISNUMBER(SEARCH("no fiscal",IFERROR(VLOOKUP($B101,'Base de datos'!$A$3:$K$24,10,FALSE),"")))),"",IF(OR(OR(ISNUMBER(SEARCH("Hach",$B101)),ISNUMBER(SEARCH("Ketamina",$B101))),AND(IFERROR(VLOOKUP($B101,'Base de datos'!$A$3:$K$24,9,FALSE),"")&lt;&gt;"",IFERROR(VLOOKUP($B101,'Base de datos'!$A$3:$K$24,9,FALSE),"")&lt;&gt;0)),"",IFERROR($M101*VLOOKUP($B101,'Base de datos'!$A$3:$K$24,8,FALSE)/1000,""))))</f>
        <v/>
      </c>
      <c r="G101" s="7" t="str">
        <f>IF($B101="","",IF(OR(UPPER(IFERROR(VLOOKUP($B101,'Base de datos'!$A$3:$K$24,11,FALSE),""))="NO",ISNUMBER(SEARCH("no sometida",IFERROR(VLOOKUP($B101,'Base de datos'!$A$3:$K$24,10,FALSE),""))),ISNUMBER(SEARCH("no fiscal",IFERROR(VLOOKUP($B101,'Base de datos'!$A$3:$K$24,10,FALSE),"")))),"",IFERROR(IF(OR(ISNUMBER(SEARCH("Hach",$B101)),ISNUMBER(SEARCH("Ketamina",$B101))),IF(VLOOKUP($B101,'Base de datos'!$A$3:$K$24,6,FALSE)="","",$E101*VLOOKUP($B101,'Base de datos'!$A$3:$K$24,6,FALSE)),IF(AND(IFERROR(VLOOKUP($B101,'Base de datos'!$A$3:$K$24,9,FALSE),"")&lt;&gt;"",IFERROR(VLOOKUP($B101,'Base de datos'!$A$3:$K$24,9,FALSE),"")&lt;&gt;0),"",IF(VLOOKUP($B101,'Base de datos'!$A$3:$K$24,6,FALSE)="","",$N101*VLOOKUP($B101,'Base de datos'!$A$3:$K$24,6,FALSE)))),"")))</f>
        <v/>
      </c>
      <c r="H101" s="7" t="str">
        <f>IF($B101="","",IF(OR(UPPER(IFERROR(VLOOKUP($B101,'Base de datos'!$A$3:$K$24,11,FALSE),""))="NO",ISNUMBER(SEARCH("no sometida",IFERROR(VLOOKUP($B101,'Base de datos'!$A$3:$K$24,10,FALSE),""))),ISNUMBER(SEARCH("no fiscal",IFERROR(VLOOKUP($B101,'Base de datos'!$A$3:$K$24,10,FALSE),"")))),"",IF(OR(ISNUMBER(SEARCH("Hach",$B101)),ISNUMBER(SEARCH("Ketamina",$B101))),"",IF(AND(IFERROR(VLOOKUP($B101,'Base de datos'!$A$3:$K$24,9,FALSE),"")&lt;&gt;"",IFERROR(VLOOKUP($B101,'Base de datos'!$A$3:$K$24,9,FALSE),"")&lt;&gt;0),$E101*IFERROR(VLOOKUP($B101,'Base de datos'!$A$3:$K$24,9,FALSE),""),IFERROR($O101*VLOOKUP($B101,'Base de datos'!$A$3:$K$24,4,FALSE),"")))))</f>
        <v/>
      </c>
      <c r="I101" s="5" t="str">
        <f>IFERROR(VLOOKUP($B101,'Base de datos'!$A$3:$K$24,7,FALSE),"")</f>
        <v/>
      </c>
      <c r="J101" s="13" t="str">
        <f>IFERROR(VLOOKUP($B101,'Base de datos'!$A$3:$K$24,10,FALSE),"")</f>
        <v/>
      </c>
      <c r="K101" s="6"/>
      <c r="L101" s="4"/>
      <c r="M101" s="6" t="str">
        <f>IF(OR(OR(UPPER(IFERROR(VLOOKUP($B101,'Base de datos'!$A$3:$K$24,11,FALSE),""))="NO",ISNUMBER(SEARCH("no sometida",IFERROR(VLOOKUP($B101,'Base de datos'!$A$3:$K$24,10,FALSE),""))),ISNUMBER(SEARCH("no fiscal",IFERROR(VLOOKUP($B101,'Base de datos'!$A$3:$K$24,10,FALSE),"")))),OR(ISNUMBER(SEARCH("Hach",$B101)),ISNUMBER(SEARCH("Ketamina",$B101))),AND(IFERROR(VLOOKUP($B101,'Base de datos'!$A$3:$K$24,9,FALSE),"")&lt;&gt;"",IFERROR(VLOOKUP($B101,'Base de datos'!$A$3:$K$24,9,FALSE),"")&lt;&gt;0)),"",IFERROR($E101*$C101/$I101,""))</f>
        <v/>
      </c>
      <c r="N101" s="6" t="str">
        <f>IF(OR(OR(UPPER(IFERROR(VLOOKUP($B101,'Base de datos'!$A$3:$K$24,11,FALSE),""))="NO",ISNUMBER(SEARCH("no sometida",IFERROR(VLOOKUP($B101,'Base de datos'!$A$3:$K$24,10,FALSE),""))),ISNUMBER(SEARCH("no fiscal",IFERROR(VLOOKUP($B101,'Base de datos'!$A$3:$K$24,10,FALSE),"")))),OR(ISNUMBER(SEARCH("Hach",$B101)),ISNUMBER(SEARCH("Ketamina",$B101))),AND(IFERROR(VLOOKUP($B101,'Base de datos'!$A$3:$K$24,9,FALSE),"")&lt;&gt;"",IFERROR(VLOOKUP($B101,'Base de datos'!$A$3:$K$24,9,FALSE),"")&lt;&gt;0)),"",IFERROR($E101*$C101/IFERROR(VLOOKUP($B101,'Base de datos'!$A$3:$K$24,5,FALSE),0),""))</f>
        <v/>
      </c>
      <c r="O101" s="6" t="str">
        <f>IF(OR(OR(UPPER(IFERROR(VLOOKUP($B101,'Base de datos'!$A$3:$K$24,11,FALSE),""))="NO",ISNUMBER(SEARCH("no sometida",IFERROR(VLOOKUP($B101,'Base de datos'!$A$3:$K$24,10,FALSE),""))),ISNUMBER(SEARCH("no fiscal",IFERROR(VLOOKUP($B101,'Base de datos'!$A$3:$K$24,10,FALSE),"")))),OR(ISNUMBER(SEARCH("Hach",$B101)),ISNUMBER(SEARCH("Ketamina",$B101))),AND(IFERROR(VLOOKUP($B101,'Base de datos'!$A$3:$K$24,9,FALSE),"")&lt;&gt;"",IFERROR(VLOOKUP($B101,'Base de datos'!$A$3:$K$24,9,FALSE),"")&lt;&gt;0)),"",IFERROR((($E101*$C101/IFERROR(VLOOKUP($B101,'Base de datos'!$A$3:$K$24,3,FALSE),0))*1000)/IFERROR(VLOOKUP($B101,'Base de datos'!$A$3:$K$24,2,FALSE),0),""))</f>
        <v/>
      </c>
    </row>
    <row r="102" spans="1:15" x14ac:dyDescent="0.25">
      <c r="A102" s="4"/>
      <c r="B102" s="4"/>
      <c r="C102" s="5" t="str">
        <f>IFERROR(VLOOKUP($B102,'Base de datos'!$A$3:$K$24,3,FALSE),"")</f>
        <v/>
      </c>
      <c r="D102" s="4" t="str">
        <f t="shared" si="3"/>
        <v/>
      </c>
      <c r="E102" s="6"/>
      <c r="F102" s="7" t="str">
        <f>IF($B102="","",IF(OR(UPPER(IFERROR(VLOOKUP($B102,'Base de datos'!$A$3:$K$24,11,FALSE),""))="NO",ISNUMBER(SEARCH("no sometida",IFERROR(VLOOKUP($B102,'Base de datos'!$A$3:$K$24,10,FALSE),""))),ISNUMBER(SEARCH("no fiscal",IFERROR(VLOOKUP($B102,'Base de datos'!$A$3:$K$24,10,FALSE),"")))),"",IF(OR(OR(ISNUMBER(SEARCH("Hach",$B102)),ISNUMBER(SEARCH("Ketamina",$B102))),AND(IFERROR(VLOOKUP($B102,'Base de datos'!$A$3:$K$24,9,FALSE),"")&lt;&gt;"",IFERROR(VLOOKUP($B102,'Base de datos'!$A$3:$K$24,9,FALSE),"")&lt;&gt;0)),"",IFERROR($M102*VLOOKUP($B102,'Base de datos'!$A$3:$K$24,8,FALSE)/1000,""))))</f>
        <v/>
      </c>
      <c r="G102" s="7" t="str">
        <f>IF($B102="","",IF(OR(UPPER(IFERROR(VLOOKUP($B102,'Base de datos'!$A$3:$K$24,11,FALSE),""))="NO",ISNUMBER(SEARCH("no sometida",IFERROR(VLOOKUP($B102,'Base de datos'!$A$3:$K$24,10,FALSE),""))),ISNUMBER(SEARCH("no fiscal",IFERROR(VLOOKUP($B102,'Base de datos'!$A$3:$K$24,10,FALSE),"")))),"",IFERROR(IF(OR(ISNUMBER(SEARCH("Hach",$B102)),ISNUMBER(SEARCH("Ketamina",$B102))),IF(VLOOKUP($B102,'Base de datos'!$A$3:$K$24,6,FALSE)="","",$E102*VLOOKUP($B102,'Base de datos'!$A$3:$K$24,6,FALSE)),IF(AND(IFERROR(VLOOKUP($B102,'Base de datos'!$A$3:$K$24,9,FALSE),"")&lt;&gt;"",IFERROR(VLOOKUP($B102,'Base de datos'!$A$3:$K$24,9,FALSE),"")&lt;&gt;0),"",IF(VLOOKUP($B102,'Base de datos'!$A$3:$K$24,6,FALSE)="","",$N102*VLOOKUP($B102,'Base de datos'!$A$3:$K$24,6,FALSE)))),"")))</f>
        <v/>
      </c>
      <c r="H102" s="7" t="str">
        <f>IF($B102="","",IF(OR(UPPER(IFERROR(VLOOKUP($B102,'Base de datos'!$A$3:$K$24,11,FALSE),""))="NO",ISNUMBER(SEARCH("no sometida",IFERROR(VLOOKUP($B102,'Base de datos'!$A$3:$K$24,10,FALSE),""))),ISNUMBER(SEARCH("no fiscal",IFERROR(VLOOKUP($B102,'Base de datos'!$A$3:$K$24,10,FALSE),"")))),"",IF(OR(ISNUMBER(SEARCH("Hach",$B102)),ISNUMBER(SEARCH("Ketamina",$B102))),"",IF(AND(IFERROR(VLOOKUP($B102,'Base de datos'!$A$3:$K$24,9,FALSE),"")&lt;&gt;"",IFERROR(VLOOKUP($B102,'Base de datos'!$A$3:$K$24,9,FALSE),"")&lt;&gt;0),$E102*IFERROR(VLOOKUP($B102,'Base de datos'!$A$3:$K$24,9,FALSE),""),IFERROR($O102*VLOOKUP($B102,'Base de datos'!$A$3:$K$24,4,FALSE),"")))))</f>
        <v/>
      </c>
      <c r="I102" s="5" t="str">
        <f>IFERROR(VLOOKUP($B102,'Base de datos'!$A$3:$K$24,7,FALSE),"")</f>
        <v/>
      </c>
      <c r="J102" s="13" t="str">
        <f>IFERROR(VLOOKUP($B102,'Base de datos'!$A$3:$K$24,10,FALSE),"")</f>
        <v/>
      </c>
      <c r="K102" s="6"/>
      <c r="L102" s="4"/>
      <c r="M102" s="6" t="str">
        <f>IF(OR(OR(UPPER(IFERROR(VLOOKUP($B102,'Base de datos'!$A$3:$K$24,11,FALSE),""))="NO",ISNUMBER(SEARCH("no sometida",IFERROR(VLOOKUP($B102,'Base de datos'!$A$3:$K$24,10,FALSE),""))),ISNUMBER(SEARCH("no fiscal",IFERROR(VLOOKUP($B102,'Base de datos'!$A$3:$K$24,10,FALSE),"")))),OR(ISNUMBER(SEARCH("Hach",$B102)),ISNUMBER(SEARCH("Ketamina",$B102))),AND(IFERROR(VLOOKUP($B102,'Base de datos'!$A$3:$K$24,9,FALSE),"")&lt;&gt;"",IFERROR(VLOOKUP($B102,'Base de datos'!$A$3:$K$24,9,FALSE),"")&lt;&gt;0)),"",IFERROR($E102*$C102/$I102,""))</f>
        <v/>
      </c>
      <c r="N102" s="6" t="str">
        <f>IF(OR(OR(UPPER(IFERROR(VLOOKUP($B102,'Base de datos'!$A$3:$K$24,11,FALSE),""))="NO",ISNUMBER(SEARCH("no sometida",IFERROR(VLOOKUP($B102,'Base de datos'!$A$3:$K$24,10,FALSE),""))),ISNUMBER(SEARCH("no fiscal",IFERROR(VLOOKUP($B102,'Base de datos'!$A$3:$K$24,10,FALSE),"")))),OR(ISNUMBER(SEARCH("Hach",$B102)),ISNUMBER(SEARCH("Ketamina",$B102))),AND(IFERROR(VLOOKUP($B102,'Base de datos'!$A$3:$K$24,9,FALSE),"")&lt;&gt;"",IFERROR(VLOOKUP($B102,'Base de datos'!$A$3:$K$24,9,FALSE),"")&lt;&gt;0)),"",IFERROR($E102*$C102/IFERROR(VLOOKUP($B102,'Base de datos'!$A$3:$K$24,5,FALSE),0),""))</f>
        <v/>
      </c>
      <c r="O102" s="6" t="str">
        <f>IF(OR(OR(UPPER(IFERROR(VLOOKUP($B102,'Base de datos'!$A$3:$K$24,11,FALSE),""))="NO",ISNUMBER(SEARCH("no sometida",IFERROR(VLOOKUP($B102,'Base de datos'!$A$3:$K$24,10,FALSE),""))),ISNUMBER(SEARCH("no fiscal",IFERROR(VLOOKUP($B102,'Base de datos'!$A$3:$K$24,10,FALSE),"")))),OR(ISNUMBER(SEARCH("Hach",$B102)),ISNUMBER(SEARCH("Ketamina",$B102))),AND(IFERROR(VLOOKUP($B102,'Base de datos'!$A$3:$K$24,9,FALSE),"")&lt;&gt;"",IFERROR(VLOOKUP($B102,'Base de datos'!$A$3:$K$24,9,FALSE),"")&lt;&gt;0)),"",IFERROR((($E102*$C102/IFERROR(VLOOKUP($B102,'Base de datos'!$A$3:$K$24,3,FALSE),0))*1000)/IFERROR(VLOOKUP($B102,'Base de datos'!$A$3:$K$24,2,FALSE),0),""))</f>
        <v/>
      </c>
    </row>
    <row r="103" spans="1:15" x14ac:dyDescent="0.25">
      <c r="A103" s="4"/>
      <c r="B103" s="4"/>
      <c r="C103" s="5" t="str">
        <f>IFERROR(VLOOKUP($B103,'Base de datos'!$A$3:$K$24,3,FALSE),"")</f>
        <v/>
      </c>
      <c r="D103" s="4" t="str">
        <f t="shared" si="3"/>
        <v/>
      </c>
      <c r="E103" s="6"/>
      <c r="F103" s="7" t="str">
        <f>IF($B103="","",IF(OR(UPPER(IFERROR(VLOOKUP($B103,'Base de datos'!$A$3:$K$24,11,FALSE),""))="NO",ISNUMBER(SEARCH("no sometida",IFERROR(VLOOKUP($B103,'Base de datos'!$A$3:$K$24,10,FALSE),""))),ISNUMBER(SEARCH("no fiscal",IFERROR(VLOOKUP($B103,'Base de datos'!$A$3:$K$24,10,FALSE),"")))),"",IF(OR(OR(ISNUMBER(SEARCH("Hach",$B103)),ISNUMBER(SEARCH("Ketamina",$B103))),AND(IFERROR(VLOOKUP($B103,'Base de datos'!$A$3:$K$24,9,FALSE),"")&lt;&gt;"",IFERROR(VLOOKUP($B103,'Base de datos'!$A$3:$K$24,9,FALSE),"")&lt;&gt;0)),"",IFERROR($M103*VLOOKUP($B103,'Base de datos'!$A$3:$K$24,8,FALSE)/1000,""))))</f>
        <v/>
      </c>
      <c r="G103" s="7" t="str">
        <f>IF($B103="","",IF(OR(UPPER(IFERROR(VLOOKUP($B103,'Base de datos'!$A$3:$K$24,11,FALSE),""))="NO",ISNUMBER(SEARCH("no sometida",IFERROR(VLOOKUP($B103,'Base de datos'!$A$3:$K$24,10,FALSE),""))),ISNUMBER(SEARCH("no fiscal",IFERROR(VLOOKUP($B103,'Base de datos'!$A$3:$K$24,10,FALSE),"")))),"",IFERROR(IF(OR(ISNUMBER(SEARCH("Hach",$B103)),ISNUMBER(SEARCH("Ketamina",$B103))),IF(VLOOKUP($B103,'Base de datos'!$A$3:$K$24,6,FALSE)="","",$E103*VLOOKUP($B103,'Base de datos'!$A$3:$K$24,6,FALSE)),IF(AND(IFERROR(VLOOKUP($B103,'Base de datos'!$A$3:$K$24,9,FALSE),"")&lt;&gt;"",IFERROR(VLOOKUP($B103,'Base de datos'!$A$3:$K$24,9,FALSE),"")&lt;&gt;0),"",IF(VLOOKUP($B103,'Base de datos'!$A$3:$K$24,6,FALSE)="","",$N103*VLOOKUP($B103,'Base de datos'!$A$3:$K$24,6,FALSE)))),"")))</f>
        <v/>
      </c>
      <c r="H103" s="7" t="str">
        <f>IF($B103="","",IF(OR(UPPER(IFERROR(VLOOKUP($B103,'Base de datos'!$A$3:$K$24,11,FALSE),""))="NO",ISNUMBER(SEARCH("no sometida",IFERROR(VLOOKUP($B103,'Base de datos'!$A$3:$K$24,10,FALSE),""))),ISNUMBER(SEARCH("no fiscal",IFERROR(VLOOKUP($B103,'Base de datos'!$A$3:$K$24,10,FALSE),"")))),"",IF(OR(ISNUMBER(SEARCH("Hach",$B103)),ISNUMBER(SEARCH("Ketamina",$B103))),"",IF(AND(IFERROR(VLOOKUP($B103,'Base de datos'!$A$3:$K$24,9,FALSE),"")&lt;&gt;"",IFERROR(VLOOKUP($B103,'Base de datos'!$A$3:$K$24,9,FALSE),"")&lt;&gt;0),$E103*IFERROR(VLOOKUP($B103,'Base de datos'!$A$3:$K$24,9,FALSE),""),IFERROR($O103*VLOOKUP($B103,'Base de datos'!$A$3:$K$24,4,FALSE),"")))))</f>
        <v/>
      </c>
      <c r="I103" s="5" t="str">
        <f>IFERROR(VLOOKUP($B103,'Base de datos'!$A$3:$K$24,7,FALSE),"")</f>
        <v/>
      </c>
      <c r="J103" s="13" t="str">
        <f>IFERROR(VLOOKUP($B103,'Base de datos'!$A$3:$K$24,10,FALSE),"")</f>
        <v/>
      </c>
      <c r="K103" s="6"/>
      <c r="L103" s="4"/>
      <c r="M103" s="6" t="str">
        <f>IF(OR(OR(UPPER(IFERROR(VLOOKUP($B103,'Base de datos'!$A$3:$K$24,11,FALSE),""))="NO",ISNUMBER(SEARCH("no sometida",IFERROR(VLOOKUP($B103,'Base de datos'!$A$3:$K$24,10,FALSE),""))),ISNUMBER(SEARCH("no fiscal",IFERROR(VLOOKUP($B103,'Base de datos'!$A$3:$K$24,10,FALSE),"")))),OR(ISNUMBER(SEARCH("Hach",$B103)),ISNUMBER(SEARCH("Ketamina",$B103))),AND(IFERROR(VLOOKUP($B103,'Base de datos'!$A$3:$K$24,9,FALSE),"")&lt;&gt;"",IFERROR(VLOOKUP($B103,'Base de datos'!$A$3:$K$24,9,FALSE),"")&lt;&gt;0)),"",IFERROR($E103*$C103/$I103,""))</f>
        <v/>
      </c>
      <c r="N103" s="6" t="str">
        <f>IF(OR(OR(UPPER(IFERROR(VLOOKUP($B103,'Base de datos'!$A$3:$K$24,11,FALSE),""))="NO",ISNUMBER(SEARCH("no sometida",IFERROR(VLOOKUP($B103,'Base de datos'!$A$3:$K$24,10,FALSE),""))),ISNUMBER(SEARCH("no fiscal",IFERROR(VLOOKUP($B103,'Base de datos'!$A$3:$K$24,10,FALSE),"")))),OR(ISNUMBER(SEARCH("Hach",$B103)),ISNUMBER(SEARCH("Ketamina",$B103))),AND(IFERROR(VLOOKUP($B103,'Base de datos'!$A$3:$K$24,9,FALSE),"")&lt;&gt;"",IFERROR(VLOOKUP($B103,'Base de datos'!$A$3:$K$24,9,FALSE),"")&lt;&gt;0)),"",IFERROR($E103*$C103/IFERROR(VLOOKUP($B103,'Base de datos'!$A$3:$K$24,5,FALSE),0),""))</f>
        <v/>
      </c>
      <c r="O103" s="6" t="str">
        <f>IF(OR(OR(UPPER(IFERROR(VLOOKUP($B103,'Base de datos'!$A$3:$K$24,11,FALSE),""))="NO",ISNUMBER(SEARCH("no sometida",IFERROR(VLOOKUP($B103,'Base de datos'!$A$3:$K$24,10,FALSE),""))),ISNUMBER(SEARCH("no fiscal",IFERROR(VLOOKUP($B103,'Base de datos'!$A$3:$K$24,10,FALSE),"")))),OR(ISNUMBER(SEARCH("Hach",$B103)),ISNUMBER(SEARCH("Ketamina",$B103))),AND(IFERROR(VLOOKUP($B103,'Base de datos'!$A$3:$K$24,9,FALSE),"")&lt;&gt;"",IFERROR(VLOOKUP($B103,'Base de datos'!$A$3:$K$24,9,FALSE),"")&lt;&gt;0)),"",IFERROR((($E103*$C103/IFERROR(VLOOKUP($B103,'Base de datos'!$A$3:$K$24,3,FALSE),0))*1000)/IFERROR(VLOOKUP($B103,'Base de datos'!$A$3:$K$24,2,FALSE),0),""))</f>
        <v/>
      </c>
    </row>
    <row r="104" spans="1:15" x14ac:dyDescent="0.25">
      <c r="A104" s="4"/>
      <c r="B104" s="4"/>
      <c r="C104" s="5" t="str">
        <f>IFERROR(VLOOKUP($B104,'Base de datos'!$A$3:$K$24,3,FALSE),"")</f>
        <v/>
      </c>
      <c r="D104" s="4" t="str">
        <f t="shared" si="3"/>
        <v/>
      </c>
      <c r="E104" s="6"/>
      <c r="F104" s="7" t="str">
        <f>IF($B104="","",IF(OR(UPPER(IFERROR(VLOOKUP($B104,'Base de datos'!$A$3:$K$24,11,FALSE),""))="NO",ISNUMBER(SEARCH("no sometida",IFERROR(VLOOKUP($B104,'Base de datos'!$A$3:$K$24,10,FALSE),""))),ISNUMBER(SEARCH("no fiscal",IFERROR(VLOOKUP($B104,'Base de datos'!$A$3:$K$24,10,FALSE),"")))),"",IF(OR(OR(ISNUMBER(SEARCH("Hach",$B104)),ISNUMBER(SEARCH("Ketamina",$B104))),AND(IFERROR(VLOOKUP($B104,'Base de datos'!$A$3:$K$24,9,FALSE),"")&lt;&gt;"",IFERROR(VLOOKUP($B104,'Base de datos'!$A$3:$K$24,9,FALSE),"")&lt;&gt;0)),"",IFERROR($M104*VLOOKUP($B104,'Base de datos'!$A$3:$K$24,8,FALSE)/1000,""))))</f>
        <v/>
      </c>
      <c r="G104" s="7" t="str">
        <f>IF($B104="","",IF(OR(UPPER(IFERROR(VLOOKUP($B104,'Base de datos'!$A$3:$K$24,11,FALSE),""))="NO",ISNUMBER(SEARCH("no sometida",IFERROR(VLOOKUP($B104,'Base de datos'!$A$3:$K$24,10,FALSE),""))),ISNUMBER(SEARCH("no fiscal",IFERROR(VLOOKUP($B104,'Base de datos'!$A$3:$K$24,10,FALSE),"")))),"",IFERROR(IF(OR(ISNUMBER(SEARCH("Hach",$B104)),ISNUMBER(SEARCH("Ketamina",$B104))),IF(VLOOKUP($B104,'Base de datos'!$A$3:$K$24,6,FALSE)="","",$E104*VLOOKUP($B104,'Base de datos'!$A$3:$K$24,6,FALSE)),IF(AND(IFERROR(VLOOKUP($B104,'Base de datos'!$A$3:$K$24,9,FALSE),"")&lt;&gt;"",IFERROR(VLOOKUP($B104,'Base de datos'!$A$3:$K$24,9,FALSE),"")&lt;&gt;0),"",IF(VLOOKUP($B104,'Base de datos'!$A$3:$K$24,6,FALSE)="","",$N104*VLOOKUP($B104,'Base de datos'!$A$3:$K$24,6,FALSE)))),"")))</f>
        <v/>
      </c>
      <c r="H104" s="7" t="str">
        <f>IF($B104="","",IF(OR(UPPER(IFERROR(VLOOKUP($B104,'Base de datos'!$A$3:$K$24,11,FALSE),""))="NO",ISNUMBER(SEARCH("no sometida",IFERROR(VLOOKUP($B104,'Base de datos'!$A$3:$K$24,10,FALSE),""))),ISNUMBER(SEARCH("no fiscal",IFERROR(VLOOKUP($B104,'Base de datos'!$A$3:$K$24,10,FALSE),"")))),"",IF(OR(ISNUMBER(SEARCH("Hach",$B104)),ISNUMBER(SEARCH("Ketamina",$B104))),"",IF(AND(IFERROR(VLOOKUP($B104,'Base de datos'!$A$3:$K$24,9,FALSE),"")&lt;&gt;"",IFERROR(VLOOKUP($B104,'Base de datos'!$A$3:$K$24,9,FALSE),"")&lt;&gt;0),$E104*IFERROR(VLOOKUP($B104,'Base de datos'!$A$3:$K$24,9,FALSE),""),IFERROR($O104*VLOOKUP($B104,'Base de datos'!$A$3:$K$24,4,FALSE),"")))))</f>
        <v/>
      </c>
      <c r="I104" s="5" t="str">
        <f>IFERROR(VLOOKUP($B104,'Base de datos'!$A$3:$K$24,7,FALSE),"")</f>
        <v/>
      </c>
      <c r="J104" s="13" t="str">
        <f>IFERROR(VLOOKUP($B104,'Base de datos'!$A$3:$K$24,10,FALSE),"")</f>
        <v/>
      </c>
      <c r="K104" s="6"/>
      <c r="L104" s="4"/>
      <c r="M104" s="6" t="str">
        <f>IF(OR(OR(UPPER(IFERROR(VLOOKUP($B104,'Base de datos'!$A$3:$K$24,11,FALSE),""))="NO",ISNUMBER(SEARCH("no sometida",IFERROR(VLOOKUP($B104,'Base de datos'!$A$3:$K$24,10,FALSE),""))),ISNUMBER(SEARCH("no fiscal",IFERROR(VLOOKUP($B104,'Base de datos'!$A$3:$K$24,10,FALSE),"")))),OR(ISNUMBER(SEARCH("Hach",$B104)),ISNUMBER(SEARCH("Ketamina",$B104))),AND(IFERROR(VLOOKUP($B104,'Base de datos'!$A$3:$K$24,9,FALSE),"")&lt;&gt;"",IFERROR(VLOOKUP($B104,'Base de datos'!$A$3:$K$24,9,FALSE),"")&lt;&gt;0)),"",IFERROR($E104*$C104/$I104,""))</f>
        <v/>
      </c>
      <c r="N104" s="6" t="str">
        <f>IF(OR(OR(UPPER(IFERROR(VLOOKUP($B104,'Base de datos'!$A$3:$K$24,11,FALSE),""))="NO",ISNUMBER(SEARCH("no sometida",IFERROR(VLOOKUP($B104,'Base de datos'!$A$3:$K$24,10,FALSE),""))),ISNUMBER(SEARCH("no fiscal",IFERROR(VLOOKUP($B104,'Base de datos'!$A$3:$K$24,10,FALSE),"")))),OR(ISNUMBER(SEARCH("Hach",$B104)),ISNUMBER(SEARCH("Ketamina",$B104))),AND(IFERROR(VLOOKUP($B104,'Base de datos'!$A$3:$K$24,9,FALSE),"")&lt;&gt;"",IFERROR(VLOOKUP($B104,'Base de datos'!$A$3:$K$24,9,FALSE),"")&lt;&gt;0)),"",IFERROR($E104*$C104/IFERROR(VLOOKUP($B104,'Base de datos'!$A$3:$K$24,5,FALSE),0),""))</f>
        <v/>
      </c>
      <c r="O104" s="6" t="str">
        <f>IF(OR(OR(UPPER(IFERROR(VLOOKUP($B104,'Base de datos'!$A$3:$K$24,11,FALSE),""))="NO",ISNUMBER(SEARCH("no sometida",IFERROR(VLOOKUP($B104,'Base de datos'!$A$3:$K$24,10,FALSE),""))),ISNUMBER(SEARCH("no fiscal",IFERROR(VLOOKUP($B104,'Base de datos'!$A$3:$K$24,10,FALSE),"")))),OR(ISNUMBER(SEARCH("Hach",$B104)),ISNUMBER(SEARCH("Ketamina",$B104))),AND(IFERROR(VLOOKUP($B104,'Base de datos'!$A$3:$K$24,9,FALSE),"")&lt;&gt;"",IFERROR(VLOOKUP($B104,'Base de datos'!$A$3:$K$24,9,FALSE),"")&lt;&gt;0)),"",IFERROR((($E104*$C104/IFERROR(VLOOKUP($B104,'Base de datos'!$A$3:$K$24,3,FALSE),0))*1000)/IFERROR(VLOOKUP($B104,'Base de datos'!$A$3:$K$24,2,FALSE),0),""))</f>
        <v/>
      </c>
    </row>
    <row r="105" spans="1:15" x14ac:dyDescent="0.25">
      <c r="A105" s="4"/>
      <c r="B105" s="4"/>
      <c r="C105" s="5" t="str">
        <f>IFERROR(VLOOKUP($B105,'Base de datos'!$A$3:$K$24,3,FALSE),"")</f>
        <v/>
      </c>
      <c r="D105" s="4" t="str">
        <f t="shared" si="3"/>
        <v/>
      </c>
      <c r="E105" s="6"/>
      <c r="F105" s="7" t="str">
        <f>IF($B105="","",IF(OR(UPPER(IFERROR(VLOOKUP($B105,'Base de datos'!$A$3:$K$24,11,FALSE),""))="NO",ISNUMBER(SEARCH("no sometida",IFERROR(VLOOKUP($B105,'Base de datos'!$A$3:$K$24,10,FALSE),""))),ISNUMBER(SEARCH("no fiscal",IFERROR(VLOOKUP($B105,'Base de datos'!$A$3:$K$24,10,FALSE),"")))),"",IF(OR(OR(ISNUMBER(SEARCH("Hach",$B105)),ISNUMBER(SEARCH("Ketamina",$B105))),AND(IFERROR(VLOOKUP($B105,'Base de datos'!$A$3:$K$24,9,FALSE),"")&lt;&gt;"",IFERROR(VLOOKUP($B105,'Base de datos'!$A$3:$K$24,9,FALSE),"")&lt;&gt;0)),"",IFERROR($M105*VLOOKUP($B105,'Base de datos'!$A$3:$K$24,8,FALSE)/1000,""))))</f>
        <v/>
      </c>
      <c r="G105" s="7" t="str">
        <f>IF($B105="","",IF(OR(UPPER(IFERROR(VLOOKUP($B105,'Base de datos'!$A$3:$K$24,11,FALSE),""))="NO",ISNUMBER(SEARCH("no sometida",IFERROR(VLOOKUP($B105,'Base de datos'!$A$3:$K$24,10,FALSE),""))),ISNUMBER(SEARCH("no fiscal",IFERROR(VLOOKUP($B105,'Base de datos'!$A$3:$K$24,10,FALSE),"")))),"",IFERROR(IF(OR(ISNUMBER(SEARCH("Hach",$B105)),ISNUMBER(SEARCH("Ketamina",$B105))),IF(VLOOKUP($B105,'Base de datos'!$A$3:$K$24,6,FALSE)="","",$E105*VLOOKUP($B105,'Base de datos'!$A$3:$K$24,6,FALSE)),IF(AND(IFERROR(VLOOKUP($B105,'Base de datos'!$A$3:$K$24,9,FALSE),"")&lt;&gt;"",IFERROR(VLOOKUP($B105,'Base de datos'!$A$3:$K$24,9,FALSE),"")&lt;&gt;0),"",IF(VLOOKUP($B105,'Base de datos'!$A$3:$K$24,6,FALSE)="","",$N105*VLOOKUP($B105,'Base de datos'!$A$3:$K$24,6,FALSE)))),"")))</f>
        <v/>
      </c>
      <c r="H105" s="7" t="str">
        <f>IF($B105="","",IF(OR(UPPER(IFERROR(VLOOKUP($B105,'Base de datos'!$A$3:$K$24,11,FALSE),""))="NO",ISNUMBER(SEARCH("no sometida",IFERROR(VLOOKUP($B105,'Base de datos'!$A$3:$K$24,10,FALSE),""))),ISNUMBER(SEARCH("no fiscal",IFERROR(VLOOKUP($B105,'Base de datos'!$A$3:$K$24,10,FALSE),"")))),"",IF(OR(ISNUMBER(SEARCH("Hach",$B105)),ISNUMBER(SEARCH("Ketamina",$B105))),"",IF(AND(IFERROR(VLOOKUP($B105,'Base de datos'!$A$3:$K$24,9,FALSE),"")&lt;&gt;"",IFERROR(VLOOKUP($B105,'Base de datos'!$A$3:$K$24,9,FALSE),"")&lt;&gt;0),$E105*IFERROR(VLOOKUP($B105,'Base de datos'!$A$3:$K$24,9,FALSE),""),IFERROR($O105*VLOOKUP($B105,'Base de datos'!$A$3:$K$24,4,FALSE),"")))))</f>
        <v/>
      </c>
      <c r="I105" s="5" t="str">
        <f>IFERROR(VLOOKUP($B105,'Base de datos'!$A$3:$K$24,7,FALSE),"")</f>
        <v/>
      </c>
      <c r="J105" s="13" t="str">
        <f>IFERROR(VLOOKUP($B105,'Base de datos'!$A$3:$K$24,10,FALSE),"")</f>
        <v/>
      </c>
      <c r="K105" s="6"/>
      <c r="L105" s="4"/>
      <c r="M105" s="6" t="str">
        <f>IF(OR(OR(UPPER(IFERROR(VLOOKUP($B105,'Base de datos'!$A$3:$K$24,11,FALSE),""))="NO",ISNUMBER(SEARCH("no sometida",IFERROR(VLOOKUP($B105,'Base de datos'!$A$3:$K$24,10,FALSE),""))),ISNUMBER(SEARCH("no fiscal",IFERROR(VLOOKUP($B105,'Base de datos'!$A$3:$K$24,10,FALSE),"")))),OR(ISNUMBER(SEARCH("Hach",$B105)),ISNUMBER(SEARCH("Ketamina",$B105))),AND(IFERROR(VLOOKUP($B105,'Base de datos'!$A$3:$K$24,9,FALSE),"")&lt;&gt;"",IFERROR(VLOOKUP($B105,'Base de datos'!$A$3:$K$24,9,FALSE),"")&lt;&gt;0)),"",IFERROR($E105*$C105/$I105,""))</f>
        <v/>
      </c>
      <c r="N105" s="6" t="str">
        <f>IF(OR(OR(UPPER(IFERROR(VLOOKUP($B105,'Base de datos'!$A$3:$K$24,11,FALSE),""))="NO",ISNUMBER(SEARCH("no sometida",IFERROR(VLOOKUP($B105,'Base de datos'!$A$3:$K$24,10,FALSE),""))),ISNUMBER(SEARCH("no fiscal",IFERROR(VLOOKUP($B105,'Base de datos'!$A$3:$K$24,10,FALSE),"")))),OR(ISNUMBER(SEARCH("Hach",$B105)),ISNUMBER(SEARCH("Ketamina",$B105))),AND(IFERROR(VLOOKUP($B105,'Base de datos'!$A$3:$K$24,9,FALSE),"")&lt;&gt;"",IFERROR(VLOOKUP($B105,'Base de datos'!$A$3:$K$24,9,FALSE),"")&lt;&gt;0)),"",IFERROR($E105*$C105/IFERROR(VLOOKUP($B105,'Base de datos'!$A$3:$K$24,5,FALSE),0),""))</f>
        <v/>
      </c>
      <c r="O105" s="6" t="str">
        <f>IF(OR(OR(UPPER(IFERROR(VLOOKUP($B105,'Base de datos'!$A$3:$K$24,11,FALSE),""))="NO",ISNUMBER(SEARCH("no sometida",IFERROR(VLOOKUP($B105,'Base de datos'!$A$3:$K$24,10,FALSE),""))),ISNUMBER(SEARCH("no fiscal",IFERROR(VLOOKUP($B105,'Base de datos'!$A$3:$K$24,10,FALSE),"")))),OR(ISNUMBER(SEARCH("Hach",$B105)),ISNUMBER(SEARCH("Ketamina",$B105))),AND(IFERROR(VLOOKUP($B105,'Base de datos'!$A$3:$K$24,9,FALSE),"")&lt;&gt;"",IFERROR(VLOOKUP($B105,'Base de datos'!$A$3:$K$24,9,FALSE),"")&lt;&gt;0)),"",IFERROR((($E105*$C105/IFERROR(VLOOKUP($B105,'Base de datos'!$A$3:$K$24,3,FALSE),0))*1000)/IFERROR(VLOOKUP($B105,'Base de datos'!$A$3:$K$24,2,FALSE),0),""))</f>
        <v/>
      </c>
    </row>
    <row r="106" spans="1:15" x14ac:dyDescent="0.25">
      <c r="A106" s="4"/>
      <c r="B106" s="4"/>
      <c r="C106" s="5" t="str">
        <f>IFERROR(VLOOKUP($B106,'Base de datos'!$A$3:$K$24,3,FALSE),"")</f>
        <v/>
      </c>
      <c r="D106" s="4" t="str">
        <f t="shared" si="3"/>
        <v/>
      </c>
      <c r="E106" s="6"/>
      <c r="F106" s="7" t="str">
        <f>IF($B106="","",IF(OR(UPPER(IFERROR(VLOOKUP($B106,'Base de datos'!$A$3:$K$24,11,FALSE),""))="NO",ISNUMBER(SEARCH("no sometida",IFERROR(VLOOKUP($B106,'Base de datos'!$A$3:$K$24,10,FALSE),""))),ISNUMBER(SEARCH("no fiscal",IFERROR(VLOOKUP($B106,'Base de datos'!$A$3:$K$24,10,FALSE),"")))),"",IF(OR(OR(ISNUMBER(SEARCH("Hach",$B106)),ISNUMBER(SEARCH("Ketamina",$B106))),AND(IFERROR(VLOOKUP($B106,'Base de datos'!$A$3:$K$24,9,FALSE),"")&lt;&gt;"",IFERROR(VLOOKUP($B106,'Base de datos'!$A$3:$K$24,9,FALSE),"")&lt;&gt;0)),"",IFERROR($M106*VLOOKUP($B106,'Base de datos'!$A$3:$K$24,8,FALSE)/1000,""))))</f>
        <v/>
      </c>
      <c r="G106" s="7" t="str">
        <f>IF($B106="","",IF(OR(UPPER(IFERROR(VLOOKUP($B106,'Base de datos'!$A$3:$K$24,11,FALSE),""))="NO",ISNUMBER(SEARCH("no sometida",IFERROR(VLOOKUP($B106,'Base de datos'!$A$3:$K$24,10,FALSE),""))),ISNUMBER(SEARCH("no fiscal",IFERROR(VLOOKUP($B106,'Base de datos'!$A$3:$K$24,10,FALSE),"")))),"",IFERROR(IF(OR(ISNUMBER(SEARCH("Hach",$B106)),ISNUMBER(SEARCH("Ketamina",$B106))),IF(VLOOKUP($B106,'Base de datos'!$A$3:$K$24,6,FALSE)="","",$E106*VLOOKUP($B106,'Base de datos'!$A$3:$K$24,6,FALSE)),IF(AND(IFERROR(VLOOKUP($B106,'Base de datos'!$A$3:$K$24,9,FALSE),"")&lt;&gt;"",IFERROR(VLOOKUP($B106,'Base de datos'!$A$3:$K$24,9,FALSE),"")&lt;&gt;0),"",IF(VLOOKUP($B106,'Base de datos'!$A$3:$K$24,6,FALSE)="","",$N106*VLOOKUP($B106,'Base de datos'!$A$3:$K$24,6,FALSE)))),"")))</f>
        <v/>
      </c>
      <c r="H106" s="7" t="str">
        <f>IF($B106="","",IF(OR(UPPER(IFERROR(VLOOKUP($B106,'Base de datos'!$A$3:$K$24,11,FALSE),""))="NO",ISNUMBER(SEARCH("no sometida",IFERROR(VLOOKUP($B106,'Base de datos'!$A$3:$K$24,10,FALSE),""))),ISNUMBER(SEARCH("no fiscal",IFERROR(VLOOKUP($B106,'Base de datos'!$A$3:$K$24,10,FALSE),"")))),"",IF(OR(ISNUMBER(SEARCH("Hach",$B106)),ISNUMBER(SEARCH("Ketamina",$B106))),"",IF(AND(IFERROR(VLOOKUP($B106,'Base de datos'!$A$3:$K$24,9,FALSE),"")&lt;&gt;"",IFERROR(VLOOKUP($B106,'Base de datos'!$A$3:$K$24,9,FALSE),"")&lt;&gt;0),$E106*IFERROR(VLOOKUP($B106,'Base de datos'!$A$3:$K$24,9,FALSE),""),IFERROR($O106*VLOOKUP($B106,'Base de datos'!$A$3:$K$24,4,FALSE),"")))))</f>
        <v/>
      </c>
      <c r="I106" s="5" t="str">
        <f>IFERROR(VLOOKUP($B106,'Base de datos'!$A$3:$K$24,7,FALSE),"")</f>
        <v/>
      </c>
      <c r="J106" s="13" t="str">
        <f>IFERROR(VLOOKUP($B106,'Base de datos'!$A$3:$K$24,10,FALSE),"")</f>
        <v/>
      </c>
      <c r="K106" s="6"/>
      <c r="L106" s="4"/>
      <c r="M106" s="6" t="str">
        <f>IF(OR(OR(UPPER(IFERROR(VLOOKUP($B106,'Base de datos'!$A$3:$K$24,11,FALSE),""))="NO",ISNUMBER(SEARCH("no sometida",IFERROR(VLOOKUP($B106,'Base de datos'!$A$3:$K$24,10,FALSE),""))),ISNUMBER(SEARCH("no fiscal",IFERROR(VLOOKUP($B106,'Base de datos'!$A$3:$K$24,10,FALSE),"")))),OR(ISNUMBER(SEARCH("Hach",$B106)),ISNUMBER(SEARCH("Ketamina",$B106))),AND(IFERROR(VLOOKUP($B106,'Base de datos'!$A$3:$K$24,9,FALSE),"")&lt;&gt;"",IFERROR(VLOOKUP($B106,'Base de datos'!$A$3:$K$24,9,FALSE),"")&lt;&gt;0)),"",IFERROR($E106*$C106/$I106,""))</f>
        <v/>
      </c>
      <c r="N106" s="6" t="str">
        <f>IF(OR(OR(UPPER(IFERROR(VLOOKUP($B106,'Base de datos'!$A$3:$K$24,11,FALSE),""))="NO",ISNUMBER(SEARCH("no sometida",IFERROR(VLOOKUP($B106,'Base de datos'!$A$3:$K$24,10,FALSE),""))),ISNUMBER(SEARCH("no fiscal",IFERROR(VLOOKUP($B106,'Base de datos'!$A$3:$K$24,10,FALSE),"")))),OR(ISNUMBER(SEARCH("Hach",$B106)),ISNUMBER(SEARCH("Ketamina",$B106))),AND(IFERROR(VLOOKUP($B106,'Base de datos'!$A$3:$K$24,9,FALSE),"")&lt;&gt;"",IFERROR(VLOOKUP($B106,'Base de datos'!$A$3:$K$24,9,FALSE),"")&lt;&gt;0)),"",IFERROR($E106*$C106/IFERROR(VLOOKUP($B106,'Base de datos'!$A$3:$K$24,5,FALSE),0),""))</f>
        <v/>
      </c>
      <c r="O106" s="6" t="str">
        <f>IF(OR(OR(UPPER(IFERROR(VLOOKUP($B106,'Base de datos'!$A$3:$K$24,11,FALSE),""))="NO",ISNUMBER(SEARCH("no sometida",IFERROR(VLOOKUP($B106,'Base de datos'!$A$3:$K$24,10,FALSE),""))),ISNUMBER(SEARCH("no fiscal",IFERROR(VLOOKUP($B106,'Base de datos'!$A$3:$K$24,10,FALSE),"")))),OR(ISNUMBER(SEARCH("Hach",$B106)),ISNUMBER(SEARCH("Ketamina",$B106))),AND(IFERROR(VLOOKUP($B106,'Base de datos'!$A$3:$K$24,9,FALSE),"")&lt;&gt;"",IFERROR(VLOOKUP($B106,'Base de datos'!$A$3:$K$24,9,FALSE),"")&lt;&gt;0)),"",IFERROR((($E106*$C106/IFERROR(VLOOKUP($B106,'Base de datos'!$A$3:$K$24,3,FALSE),0))*1000)/IFERROR(VLOOKUP($B106,'Base de datos'!$A$3:$K$24,2,FALSE),0),""))</f>
        <v/>
      </c>
    </row>
    <row r="107" spans="1:15" x14ac:dyDescent="0.25">
      <c r="A107" s="4"/>
      <c r="B107" s="4"/>
      <c r="C107" s="5" t="str">
        <f>IFERROR(VLOOKUP($B107,'Base de datos'!$A$3:$K$24,3,FALSE),"")</f>
        <v/>
      </c>
      <c r="D107" s="4" t="str">
        <f t="shared" si="3"/>
        <v/>
      </c>
      <c r="E107" s="6"/>
      <c r="F107" s="7" t="str">
        <f>IF($B107="","",IF(OR(UPPER(IFERROR(VLOOKUP($B107,'Base de datos'!$A$3:$K$24,11,FALSE),""))="NO",ISNUMBER(SEARCH("no sometida",IFERROR(VLOOKUP($B107,'Base de datos'!$A$3:$K$24,10,FALSE),""))),ISNUMBER(SEARCH("no fiscal",IFERROR(VLOOKUP($B107,'Base de datos'!$A$3:$K$24,10,FALSE),"")))),"",IF(OR(OR(ISNUMBER(SEARCH("Hach",$B107)),ISNUMBER(SEARCH("Ketamina",$B107))),AND(IFERROR(VLOOKUP($B107,'Base de datos'!$A$3:$K$24,9,FALSE),"")&lt;&gt;"",IFERROR(VLOOKUP($B107,'Base de datos'!$A$3:$K$24,9,FALSE),"")&lt;&gt;0)),"",IFERROR($M107*VLOOKUP($B107,'Base de datos'!$A$3:$K$24,8,FALSE)/1000,""))))</f>
        <v/>
      </c>
      <c r="G107" s="7" t="str">
        <f>IF($B107="","",IF(OR(UPPER(IFERROR(VLOOKUP($B107,'Base de datos'!$A$3:$K$24,11,FALSE),""))="NO",ISNUMBER(SEARCH("no sometida",IFERROR(VLOOKUP($B107,'Base de datos'!$A$3:$K$24,10,FALSE),""))),ISNUMBER(SEARCH("no fiscal",IFERROR(VLOOKUP($B107,'Base de datos'!$A$3:$K$24,10,FALSE),"")))),"",IFERROR(IF(OR(ISNUMBER(SEARCH("Hach",$B107)),ISNUMBER(SEARCH("Ketamina",$B107))),IF(VLOOKUP($B107,'Base de datos'!$A$3:$K$24,6,FALSE)="","",$E107*VLOOKUP($B107,'Base de datos'!$A$3:$K$24,6,FALSE)),IF(AND(IFERROR(VLOOKUP($B107,'Base de datos'!$A$3:$K$24,9,FALSE),"")&lt;&gt;"",IFERROR(VLOOKUP($B107,'Base de datos'!$A$3:$K$24,9,FALSE),"")&lt;&gt;0),"",IF(VLOOKUP($B107,'Base de datos'!$A$3:$K$24,6,FALSE)="","",$N107*VLOOKUP($B107,'Base de datos'!$A$3:$K$24,6,FALSE)))),"")))</f>
        <v/>
      </c>
      <c r="H107" s="7" t="str">
        <f>IF($B107="","",IF(OR(UPPER(IFERROR(VLOOKUP($B107,'Base de datos'!$A$3:$K$24,11,FALSE),""))="NO",ISNUMBER(SEARCH("no sometida",IFERROR(VLOOKUP($B107,'Base de datos'!$A$3:$K$24,10,FALSE),""))),ISNUMBER(SEARCH("no fiscal",IFERROR(VLOOKUP($B107,'Base de datos'!$A$3:$K$24,10,FALSE),"")))),"",IF(OR(ISNUMBER(SEARCH("Hach",$B107)),ISNUMBER(SEARCH("Ketamina",$B107))),"",IF(AND(IFERROR(VLOOKUP($B107,'Base de datos'!$A$3:$K$24,9,FALSE),"")&lt;&gt;"",IFERROR(VLOOKUP($B107,'Base de datos'!$A$3:$K$24,9,FALSE),"")&lt;&gt;0),$E107*IFERROR(VLOOKUP($B107,'Base de datos'!$A$3:$K$24,9,FALSE),""),IFERROR($O107*VLOOKUP($B107,'Base de datos'!$A$3:$K$24,4,FALSE),"")))))</f>
        <v/>
      </c>
      <c r="I107" s="5" t="str">
        <f>IFERROR(VLOOKUP($B107,'Base de datos'!$A$3:$K$24,7,FALSE),"")</f>
        <v/>
      </c>
      <c r="J107" s="13" t="str">
        <f>IFERROR(VLOOKUP($B107,'Base de datos'!$A$3:$K$24,10,FALSE),"")</f>
        <v/>
      </c>
      <c r="K107" s="6"/>
      <c r="L107" s="4"/>
      <c r="M107" s="6" t="str">
        <f>IF(OR(OR(UPPER(IFERROR(VLOOKUP($B107,'Base de datos'!$A$3:$K$24,11,FALSE),""))="NO",ISNUMBER(SEARCH("no sometida",IFERROR(VLOOKUP($B107,'Base de datos'!$A$3:$K$24,10,FALSE),""))),ISNUMBER(SEARCH("no fiscal",IFERROR(VLOOKUP($B107,'Base de datos'!$A$3:$K$24,10,FALSE),"")))),OR(ISNUMBER(SEARCH("Hach",$B107)),ISNUMBER(SEARCH("Ketamina",$B107))),AND(IFERROR(VLOOKUP($B107,'Base de datos'!$A$3:$K$24,9,FALSE),"")&lt;&gt;"",IFERROR(VLOOKUP($B107,'Base de datos'!$A$3:$K$24,9,FALSE),"")&lt;&gt;0)),"",IFERROR($E107*$C107/$I107,""))</f>
        <v/>
      </c>
      <c r="N107" s="6" t="str">
        <f>IF(OR(OR(UPPER(IFERROR(VLOOKUP($B107,'Base de datos'!$A$3:$K$24,11,FALSE),""))="NO",ISNUMBER(SEARCH("no sometida",IFERROR(VLOOKUP($B107,'Base de datos'!$A$3:$K$24,10,FALSE),""))),ISNUMBER(SEARCH("no fiscal",IFERROR(VLOOKUP($B107,'Base de datos'!$A$3:$K$24,10,FALSE),"")))),OR(ISNUMBER(SEARCH("Hach",$B107)),ISNUMBER(SEARCH("Ketamina",$B107))),AND(IFERROR(VLOOKUP($B107,'Base de datos'!$A$3:$K$24,9,FALSE),"")&lt;&gt;"",IFERROR(VLOOKUP($B107,'Base de datos'!$A$3:$K$24,9,FALSE),"")&lt;&gt;0)),"",IFERROR($E107*$C107/IFERROR(VLOOKUP($B107,'Base de datos'!$A$3:$K$24,5,FALSE),0),""))</f>
        <v/>
      </c>
      <c r="O107" s="6" t="str">
        <f>IF(OR(OR(UPPER(IFERROR(VLOOKUP($B107,'Base de datos'!$A$3:$K$24,11,FALSE),""))="NO",ISNUMBER(SEARCH("no sometida",IFERROR(VLOOKUP($B107,'Base de datos'!$A$3:$K$24,10,FALSE),""))),ISNUMBER(SEARCH("no fiscal",IFERROR(VLOOKUP($B107,'Base de datos'!$A$3:$K$24,10,FALSE),"")))),OR(ISNUMBER(SEARCH("Hach",$B107)),ISNUMBER(SEARCH("Ketamina",$B107))),AND(IFERROR(VLOOKUP($B107,'Base de datos'!$A$3:$K$24,9,FALSE),"")&lt;&gt;"",IFERROR(VLOOKUP($B107,'Base de datos'!$A$3:$K$24,9,FALSE),"")&lt;&gt;0)),"",IFERROR((($E107*$C107/IFERROR(VLOOKUP($B107,'Base de datos'!$A$3:$K$24,3,FALSE),0))*1000)/IFERROR(VLOOKUP($B107,'Base de datos'!$A$3:$K$24,2,FALSE),0),""))</f>
        <v/>
      </c>
    </row>
    <row r="108" spans="1:15" x14ac:dyDescent="0.25">
      <c r="A108" s="4"/>
      <c r="B108" s="4"/>
      <c r="C108" s="5" t="str">
        <f>IFERROR(VLOOKUP($B108,'Base de datos'!$A$3:$K$24,3,FALSE),"")</f>
        <v/>
      </c>
      <c r="D108" s="4" t="str">
        <f t="shared" si="3"/>
        <v/>
      </c>
      <c r="E108" s="6"/>
      <c r="F108" s="7" t="str">
        <f>IF($B108="","",IF(OR(UPPER(IFERROR(VLOOKUP($B108,'Base de datos'!$A$3:$K$24,11,FALSE),""))="NO",ISNUMBER(SEARCH("no sometida",IFERROR(VLOOKUP($B108,'Base de datos'!$A$3:$K$24,10,FALSE),""))),ISNUMBER(SEARCH("no fiscal",IFERROR(VLOOKUP($B108,'Base de datos'!$A$3:$K$24,10,FALSE),"")))),"",IF(OR(OR(ISNUMBER(SEARCH("Hach",$B108)),ISNUMBER(SEARCH("Ketamina",$B108))),AND(IFERROR(VLOOKUP($B108,'Base de datos'!$A$3:$K$24,9,FALSE),"")&lt;&gt;"",IFERROR(VLOOKUP($B108,'Base de datos'!$A$3:$K$24,9,FALSE),"")&lt;&gt;0)),"",IFERROR($M108*VLOOKUP($B108,'Base de datos'!$A$3:$K$24,8,FALSE)/1000,""))))</f>
        <v/>
      </c>
      <c r="G108" s="7" t="str">
        <f>IF($B108="","",IF(OR(UPPER(IFERROR(VLOOKUP($B108,'Base de datos'!$A$3:$K$24,11,FALSE),""))="NO",ISNUMBER(SEARCH("no sometida",IFERROR(VLOOKUP($B108,'Base de datos'!$A$3:$K$24,10,FALSE),""))),ISNUMBER(SEARCH("no fiscal",IFERROR(VLOOKUP($B108,'Base de datos'!$A$3:$K$24,10,FALSE),"")))),"",IFERROR(IF(OR(ISNUMBER(SEARCH("Hach",$B108)),ISNUMBER(SEARCH("Ketamina",$B108))),IF(VLOOKUP($B108,'Base de datos'!$A$3:$K$24,6,FALSE)="","",$E108*VLOOKUP($B108,'Base de datos'!$A$3:$K$24,6,FALSE)),IF(AND(IFERROR(VLOOKUP($B108,'Base de datos'!$A$3:$K$24,9,FALSE),"")&lt;&gt;"",IFERROR(VLOOKUP($B108,'Base de datos'!$A$3:$K$24,9,FALSE),"")&lt;&gt;0),"",IF(VLOOKUP($B108,'Base de datos'!$A$3:$K$24,6,FALSE)="","",$N108*VLOOKUP($B108,'Base de datos'!$A$3:$K$24,6,FALSE)))),"")))</f>
        <v/>
      </c>
      <c r="H108" s="7" t="str">
        <f>IF($B108="","",IF(OR(UPPER(IFERROR(VLOOKUP($B108,'Base de datos'!$A$3:$K$24,11,FALSE),""))="NO",ISNUMBER(SEARCH("no sometida",IFERROR(VLOOKUP($B108,'Base de datos'!$A$3:$K$24,10,FALSE),""))),ISNUMBER(SEARCH("no fiscal",IFERROR(VLOOKUP($B108,'Base de datos'!$A$3:$K$24,10,FALSE),"")))),"",IF(OR(ISNUMBER(SEARCH("Hach",$B108)),ISNUMBER(SEARCH("Ketamina",$B108))),"",IF(AND(IFERROR(VLOOKUP($B108,'Base de datos'!$A$3:$K$24,9,FALSE),"")&lt;&gt;"",IFERROR(VLOOKUP($B108,'Base de datos'!$A$3:$K$24,9,FALSE),"")&lt;&gt;0),$E108*IFERROR(VLOOKUP($B108,'Base de datos'!$A$3:$K$24,9,FALSE),""),IFERROR($O108*VLOOKUP($B108,'Base de datos'!$A$3:$K$24,4,FALSE),"")))))</f>
        <v/>
      </c>
      <c r="I108" s="5" t="str">
        <f>IFERROR(VLOOKUP($B108,'Base de datos'!$A$3:$K$24,7,FALSE),"")</f>
        <v/>
      </c>
      <c r="J108" s="13" t="str">
        <f>IFERROR(VLOOKUP($B108,'Base de datos'!$A$3:$K$24,10,FALSE),"")</f>
        <v/>
      </c>
      <c r="K108" s="6"/>
      <c r="L108" s="4"/>
      <c r="M108" s="6" t="str">
        <f>IF(OR(OR(UPPER(IFERROR(VLOOKUP($B108,'Base de datos'!$A$3:$K$24,11,FALSE),""))="NO",ISNUMBER(SEARCH("no sometida",IFERROR(VLOOKUP($B108,'Base de datos'!$A$3:$K$24,10,FALSE),""))),ISNUMBER(SEARCH("no fiscal",IFERROR(VLOOKUP($B108,'Base de datos'!$A$3:$K$24,10,FALSE),"")))),OR(ISNUMBER(SEARCH("Hach",$B108)),ISNUMBER(SEARCH("Ketamina",$B108))),AND(IFERROR(VLOOKUP($B108,'Base de datos'!$A$3:$K$24,9,FALSE),"")&lt;&gt;"",IFERROR(VLOOKUP($B108,'Base de datos'!$A$3:$K$24,9,FALSE),"")&lt;&gt;0)),"",IFERROR($E108*$C108/$I108,""))</f>
        <v/>
      </c>
      <c r="N108" s="6" t="str">
        <f>IF(OR(OR(UPPER(IFERROR(VLOOKUP($B108,'Base de datos'!$A$3:$K$24,11,FALSE),""))="NO",ISNUMBER(SEARCH("no sometida",IFERROR(VLOOKUP($B108,'Base de datos'!$A$3:$K$24,10,FALSE),""))),ISNUMBER(SEARCH("no fiscal",IFERROR(VLOOKUP($B108,'Base de datos'!$A$3:$K$24,10,FALSE),"")))),OR(ISNUMBER(SEARCH("Hach",$B108)),ISNUMBER(SEARCH("Ketamina",$B108))),AND(IFERROR(VLOOKUP($B108,'Base de datos'!$A$3:$K$24,9,FALSE),"")&lt;&gt;"",IFERROR(VLOOKUP($B108,'Base de datos'!$A$3:$K$24,9,FALSE),"")&lt;&gt;0)),"",IFERROR($E108*$C108/IFERROR(VLOOKUP($B108,'Base de datos'!$A$3:$K$24,5,FALSE),0),""))</f>
        <v/>
      </c>
      <c r="O108" s="6" t="str">
        <f>IF(OR(OR(UPPER(IFERROR(VLOOKUP($B108,'Base de datos'!$A$3:$K$24,11,FALSE),""))="NO",ISNUMBER(SEARCH("no sometida",IFERROR(VLOOKUP($B108,'Base de datos'!$A$3:$K$24,10,FALSE),""))),ISNUMBER(SEARCH("no fiscal",IFERROR(VLOOKUP($B108,'Base de datos'!$A$3:$K$24,10,FALSE),"")))),OR(ISNUMBER(SEARCH("Hach",$B108)),ISNUMBER(SEARCH("Ketamina",$B108))),AND(IFERROR(VLOOKUP($B108,'Base de datos'!$A$3:$K$24,9,FALSE),"")&lt;&gt;"",IFERROR(VLOOKUP($B108,'Base de datos'!$A$3:$K$24,9,FALSE),"")&lt;&gt;0)),"",IFERROR((($E108*$C108/IFERROR(VLOOKUP($B108,'Base de datos'!$A$3:$K$24,3,FALSE),0))*1000)/IFERROR(VLOOKUP($B108,'Base de datos'!$A$3:$K$24,2,FALSE),0),""))</f>
        <v/>
      </c>
    </row>
    <row r="109" spans="1:15" x14ac:dyDescent="0.25">
      <c r="A109" s="4"/>
      <c r="B109" s="4"/>
      <c r="C109" s="5" t="str">
        <f>IFERROR(VLOOKUP($B109,'Base de datos'!$A$3:$K$24,3,FALSE),"")</f>
        <v/>
      </c>
      <c r="D109" s="4" t="str">
        <f t="shared" si="3"/>
        <v/>
      </c>
      <c r="E109" s="6"/>
      <c r="F109" s="7" t="str">
        <f>IF($B109="","",IF(OR(UPPER(IFERROR(VLOOKUP($B109,'Base de datos'!$A$3:$K$24,11,FALSE),""))="NO",ISNUMBER(SEARCH("no sometida",IFERROR(VLOOKUP($B109,'Base de datos'!$A$3:$K$24,10,FALSE),""))),ISNUMBER(SEARCH("no fiscal",IFERROR(VLOOKUP($B109,'Base de datos'!$A$3:$K$24,10,FALSE),"")))),"",IF(OR(OR(ISNUMBER(SEARCH("Hach",$B109)),ISNUMBER(SEARCH("Ketamina",$B109))),AND(IFERROR(VLOOKUP($B109,'Base de datos'!$A$3:$K$24,9,FALSE),"")&lt;&gt;"",IFERROR(VLOOKUP($B109,'Base de datos'!$A$3:$K$24,9,FALSE),"")&lt;&gt;0)),"",IFERROR($M109*VLOOKUP($B109,'Base de datos'!$A$3:$K$24,8,FALSE)/1000,""))))</f>
        <v/>
      </c>
      <c r="G109" s="7" t="str">
        <f>IF($B109="","",IF(OR(UPPER(IFERROR(VLOOKUP($B109,'Base de datos'!$A$3:$K$24,11,FALSE),""))="NO",ISNUMBER(SEARCH("no sometida",IFERROR(VLOOKUP($B109,'Base de datos'!$A$3:$K$24,10,FALSE),""))),ISNUMBER(SEARCH("no fiscal",IFERROR(VLOOKUP($B109,'Base de datos'!$A$3:$K$24,10,FALSE),"")))),"",IFERROR(IF(OR(ISNUMBER(SEARCH("Hach",$B109)),ISNUMBER(SEARCH("Ketamina",$B109))),IF(VLOOKUP($B109,'Base de datos'!$A$3:$K$24,6,FALSE)="","",$E109*VLOOKUP($B109,'Base de datos'!$A$3:$K$24,6,FALSE)),IF(AND(IFERROR(VLOOKUP($B109,'Base de datos'!$A$3:$K$24,9,FALSE),"")&lt;&gt;"",IFERROR(VLOOKUP($B109,'Base de datos'!$A$3:$K$24,9,FALSE),"")&lt;&gt;0),"",IF(VLOOKUP($B109,'Base de datos'!$A$3:$K$24,6,FALSE)="","",$N109*VLOOKUP($B109,'Base de datos'!$A$3:$K$24,6,FALSE)))),"")))</f>
        <v/>
      </c>
      <c r="H109" s="7" t="str">
        <f>IF($B109="","",IF(OR(UPPER(IFERROR(VLOOKUP($B109,'Base de datos'!$A$3:$K$24,11,FALSE),""))="NO",ISNUMBER(SEARCH("no sometida",IFERROR(VLOOKUP($B109,'Base de datos'!$A$3:$K$24,10,FALSE),""))),ISNUMBER(SEARCH("no fiscal",IFERROR(VLOOKUP($B109,'Base de datos'!$A$3:$K$24,10,FALSE),"")))),"",IF(OR(ISNUMBER(SEARCH("Hach",$B109)),ISNUMBER(SEARCH("Ketamina",$B109))),"",IF(AND(IFERROR(VLOOKUP($B109,'Base de datos'!$A$3:$K$24,9,FALSE),"")&lt;&gt;"",IFERROR(VLOOKUP($B109,'Base de datos'!$A$3:$K$24,9,FALSE),"")&lt;&gt;0),$E109*IFERROR(VLOOKUP($B109,'Base de datos'!$A$3:$K$24,9,FALSE),""),IFERROR($O109*VLOOKUP($B109,'Base de datos'!$A$3:$K$24,4,FALSE),"")))))</f>
        <v/>
      </c>
      <c r="I109" s="5" t="str">
        <f>IFERROR(VLOOKUP($B109,'Base de datos'!$A$3:$K$24,7,FALSE),"")</f>
        <v/>
      </c>
      <c r="J109" s="13" t="str">
        <f>IFERROR(VLOOKUP($B109,'Base de datos'!$A$3:$K$24,10,FALSE),"")</f>
        <v/>
      </c>
      <c r="K109" s="6"/>
      <c r="L109" s="4"/>
      <c r="M109" s="6" t="str">
        <f>IF(OR(OR(UPPER(IFERROR(VLOOKUP($B109,'Base de datos'!$A$3:$K$24,11,FALSE),""))="NO",ISNUMBER(SEARCH("no sometida",IFERROR(VLOOKUP($B109,'Base de datos'!$A$3:$K$24,10,FALSE),""))),ISNUMBER(SEARCH("no fiscal",IFERROR(VLOOKUP($B109,'Base de datos'!$A$3:$K$24,10,FALSE),"")))),OR(ISNUMBER(SEARCH("Hach",$B109)),ISNUMBER(SEARCH("Ketamina",$B109))),AND(IFERROR(VLOOKUP($B109,'Base de datos'!$A$3:$K$24,9,FALSE),"")&lt;&gt;"",IFERROR(VLOOKUP($B109,'Base de datos'!$A$3:$K$24,9,FALSE),"")&lt;&gt;0)),"",IFERROR($E109*$C109/$I109,""))</f>
        <v/>
      </c>
      <c r="N109" s="6" t="str">
        <f>IF(OR(OR(UPPER(IFERROR(VLOOKUP($B109,'Base de datos'!$A$3:$K$24,11,FALSE),""))="NO",ISNUMBER(SEARCH("no sometida",IFERROR(VLOOKUP($B109,'Base de datos'!$A$3:$K$24,10,FALSE),""))),ISNUMBER(SEARCH("no fiscal",IFERROR(VLOOKUP($B109,'Base de datos'!$A$3:$K$24,10,FALSE),"")))),OR(ISNUMBER(SEARCH("Hach",$B109)),ISNUMBER(SEARCH("Ketamina",$B109))),AND(IFERROR(VLOOKUP($B109,'Base de datos'!$A$3:$K$24,9,FALSE),"")&lt;&gt;"",IFERROR(VLOOKUP($B109,'Base de datos'!$A$3:$K$24,9,FALSE),"")&lt;&gt;0)),"",IFERROR($E109*$C109/IFERROR(VLOOKUP($B109,'Base de datos'!$A$3:$K$24,5,FALSE),0),""))</f>
        <v/>
      </c>
      <c r="O109" s="6" t="str">
        <f>IF(OR(OR(UPPER(IFERROR(VLOOKUP($B109,'Base de datos'!$A$3:$K$24,11,FALSE),""))="NO",ISNUMBER(SEARCH("no sometida",IFERROR(VLOOKUP($B109,'Base de datos'!$A$3:$K$24,10,FALSE),""))),ISNUMBER(SEARCH("no fiscal",IFERROR(VLOOKUP($B109,'Base de datos'!$A$3:$K$24,10,FALSE),"")))),OR(ISNUMBER(SEARCH("Hach",$B109)),ISNUMBER(SEARCH("Ketamina",$B109))),AND(IFERROR(VLOOKUP($B109,'Base de datos'!$A$3:$K$24,9,FALSE),"")&lt;&gt;"",IFERROR(VLOOKUP($B109,'Base de datos'!$A$3:$K$24,9,FALSE),"")&lt;&gt;0)),"",IFERROR((($E109*$C109/IFERROR(VLOOKUP($B109,'Base de datos'!$A$3:$K$24,3,FALSE),0))*1000)/IFERROR(VLOOKUP($B109,'Base de datos'!$A$3:$K$24,2,FALSE),0),""))</f>
        <v/>
      </c>
    </row>
    <row r="110" spans="1:15" x14ac:dyDescent="0.25">
      <c r="A110" s="4"/>
      <c r="B110" s="4"/>
      <c r="C110" s="5" t="str">
        <f>IFERROR(VLOOKUP($B110,'Base de datos'!$A$3:$K$24,3,FALSE),"")</f>
        <v/>
      </c>
      <c r="D110" s="4" t="str">
        <f t="shared" si="3"/>
        <v/>
      </c>
      <c r="E110" s="6"/>
      <c r="F110" s="7" t="str">
        <f>IF($B110="","",IF(OR(UPPER(IFERROR(VLOOKUP($B110,'Base de datos'!$A$3:$K$24,11,FALSE),""))="NO",ISNUMBER(SEARCH("no sometida",IFERROR(VLOOKUP($B110,'Base de datos'!$A$3:$K$24,10,FALSE),""))),ISNUMBER(SEARCH("no fiscal",IFERROR(VLOOKUP($B110,'Base de datos'!$A$3:$K$24,10,FALSE),"")))),"",IF(OR(OR(ISNUMBER(SEARCH("Hach",$B110)),ISNUMBER(SEARCH("Ketamina",$B110))),AND(IFERROR(VLOOKUP($B110,'Base de datos'!$A$3:$K$24,9,FALSE),"")&lt;&gt;"",IFERROR(VLOOKUP($B110,'Base de datos'!$A$3:$K$24,9,FALSE),"")&lt;&gt;0)),"",IFERROR($M110*VLOOKUP($B110,'Base de datos'!$A$3:$K$24,8,FALSE)/1000,""))))</f>
        <v/>
      </c>
      <c r="G110" s="7" t="str">
        <f>IF($B110="","",IF(OR(UPPER(IFERROR(VLOOKUP($B110,'Base de datos'!$A$3:$K$24,11,FALSE),""))="NO",ISNUMBER(SEARCH("no sometida",IFERROR(VLOOKUP($B110,'Base de datos'!$A$3:$K$24,10,FALSE),""))),ISNUMBER(SEARCH("no fiscal",IFERROR(VLOOKUP($B110,'Base de datos'!$A$3:$K$24,10,FALSE),"")))),"",IFERROR(IF(OR(ISNUMBER(SEARCH("Hach",$B110)),ISNUMBER(SEARCH("Ketamina",$B110))),IF(VLOOKUP($B110,'Base de datos'!$A$3:$K$24,6,FALSE)="","",$E110*VLOOKUP($B110,'Base de datos'!$A$3:$K$24,6,FALSE)),IF(AND(IFERROR(VLOOKUP($B110,'Base de datos'!$A$3:$K$24,9,FALSE),"")&lt;&gt;"",IFERROR(VLOOKUP($B110,'Base de datos'!$A$3:$K$24,9,FALSE),"")&lt;&gt;0),"",IF(VLOOKUP($B110,'Base de datos'!$A$3:$K$24,6,FALSE)="","",$N110*VLOOKUP($B110,'Base de datos'!$A$3:$K$24,6,FALSE)))),"")))</f>
        <v/>
      </c>
      <c r="H110" s="7" t="str">
        <f>IF($B110="","",IF(OR(UPPER(IFERROR(VLOOKUP($B110,'Base de datos'!$A$3:$K$24,11,FALSE),""))="NO",ISNUMBER(SEARCH("no sometida",IFERROR(VLOOKUP($B110,'Base de datos'!$A$3:$K$24,10,FALSE),""))),ISNUMBER(SEARCH("no fiscal",IFERROR(VLOOKUP($B110,'Base de datos'!$A$3:$K$24,10,FALSE),"")))),"",IF(OR(ISNUMBER(SEARCH("Hach",$B110)),ISNUMBER(SEARCH("Ketamina",$B110))),"",IF(AND(IFERROR(VLOOKUP($B110,'Base de datos'!$A$3:$K$24,9,FALSE),"")&lt;&gt;"",IFERROR(VLOOKUP($B110,'Base de datos'!$A$3:$K$24,9,FALSE),"")&lt;&gt;0),$E110*IFERROR(VLOOKUP($B110,'Base de datos'!$A$3:$K$24,9,FALSE),""),IFERROR($O110*VLOOKUP($B110,'Base de datos'!$A$3:$K$24,4,FALSE),"")))))</f>
        <v/>
      </c>
      <c r="I110" s="5" t="str">
        <f>IFERROR(VLOOKUP($B110,'Base de datos'!$A$3:$K$24,7,FALSE),"")</f>
        <v/>
      </c>
      <c r="J110" s="13" t="str">
        <f>IFERROR(VLOOKUP($B110,'Base de datos'!$A$3:$K$24,10,FALSE),"")</f>
        <v/>
      </c>
      <c r="K110" s="6"/>
      <c r="L110" s="4"/>
      <c r="M110" s="6" t="str">
        <f>IF(OR(OR(UPPER(IFERROR(VLOOKUP($B110,'Base de datos'!$A$3:$K$24,11,FALSE),""))="NO",ISNUMBER(SEARCH("no sometida",IFERROR(VLOOKUP($B110,'Base de datos'!$A$3:$K$24,10,FALSE),""))),ISNUMBER(SEARCH("no fiscal",IFERROR(VLOOKUP($B110,'Base de datos'!$A$3:$K$24,10,FALSE),"")))),OR(ISNUMBER(SEARCH("Hach",$B110)),ISNUMBER(SEARCH("Ketamina",$B110))),AND(IFERROR(VLOOKUP($B110,'Base de datos'!$A$3:$K$24,9,FALSE),"")&lt;&gt;"",IFERROR(VLOOKUP($B110,'Base de datos'!$A$3:$K$24,9,FALSE),"")&lt;&gt;0)),"",IFERROR($E110*$C110/$I110,""))</f>
        <v/>
      </c>
      <c r="N110" s="6" t="str">
        <f>IF(OR(OR(UPPER(IFERROR(VLOOKUP($B110,'Base de datos'!$A$3:$K$24,11,FALSE),""))="NO",ISNUMBER(SEARCH("no sometida",IFERROR(VLOOKUP($B110,'Base de datos'!$A$3:$K$24,10,FALSE),""))),ISNUMBER(SEARCH("no fiscal",IFERROR(VLOOKUP($B110,'Base de datos'!$A$3:$K$24,10,FALSE),"")))),OR(ISNUMBER(SEARCH("Hach",$B110)),ISNUMBER(SEARCH("Ketamina",$B110))),AND(IFERROR(VLOOKUP($B110,'Base de datos'!$A$3:$K$24,9,FALSE),"")&lt;&gt;"",IFERROR(VLOOKUP($B110,'Base de datos'!$A$3:$K$24,9,FALSE),"")&lt;&gt;0)),"",IFERROR($E110*$C110/IFERROR(VLOOKUP($B110,'Base de datos'!$A$3:$K$24,5,FALSE),0),""))</f>
        <v/>
      </c>
      <c r="O110" s="6" t="str">
        <f>IF(OR(OR(UPPER(IFERROR(VLOOKUP($B110,'Base de datos'!$A$3:$K$24,11,FALSE),""))="NO",ISNUMBER(SEARCH("no sometida",IFERROR(VLOOKUP($B110,'Base de datos'!$A$3:$K$24,10,FALSE),""))),ISNUMBER(SEARCH("no fiscal",IFERROR(VLOOKUP($B110,'Base de datos'!$A$3:$K$24,10,FALSE),"")))),OR(ISNUMBER(SEARCH("Hach",$B110)),ISNUMBER(SEARCH("Ketamina",$B110))),AND(IFERROR(VLOOKUP($B110,'Base de datos'!$A$3:$K$24,9,FALSE),"")&lt;&gt;"",IFERROR(VLOOKUP($B110,'Base de datos'!$A$3:$K$24,9,FALSE),"")&lt;&gt;0)),"",IFERROR((($E110*$C110/IFERROR(VLOOKUP($B110,'Base de datos'!$A$3:$K$24,3,FALSE),0))*1000)/IFERROR(VLOOKUP($B110,'Base de datos'!$A$3:$K$24,2,FALSE),0),""))</f>
        <v/>
      </c>
    </row>
    <row r="111" spans="1:15" x14ac:dyDescent="0.25">
      <c r="A111" s="4"/>
      <c r="B111" s="4"/>
      <c r="C111" s="5" t="str">
        <f>IFERROR(VLOOKUP($B111,'Base de datos'!$A$3:$K$24,3,FALSE),"")</f>
        <v/>
      </c>
      <c r="D111" s="4" t="str">
        <f t="shared" si="3"/>
        <v/>
      </c>
      <c r="E111" s="6"/>
      <c r="F111" s="7" t="str">
        <f>IF($B111="","",IF(OR(UPPER(IFERROR(VLOOKUP($B111,'Base de datos'!$A$3:$K$24,11,FALSE),""))="NO",ISNUMBER(SEARCH("no sometida",IFERROR(VLOOKUP($B111,'Base de datos'!$A$3:$K$24,10,FALSE),""))),ISNUMBER(SEARCH("no fiscal",IFERROR(VLOOKUP($B111,'Base de datos'!$A$3:$K$24,10,FALSE),"")))),"",IF(OR(OR(ISNUMBER(SEARCH("Hach",$B111)),ISNUMBER(SEARCH("Ketamina",$B111))),AND(IFERROR(VLOOKUP($B111,'Base de datos'!$A$3:$K$24,9,FALSE),"")&lt;&gt;"",IFERROR(VLOOKUP($B111,'Base de datos'!$A$3:$K$24,9,FALSE),"")&lt;&gt;0)),"",IFERROR($M111*VLOOKUP($B111,'Base de datos'!$A$3:$K$24,8,FALSE)/1000,""))))</f>
        <v/>
      </c>
      <c r="G111" s="7" t="str">
        <f>IF($B111="","",IF(OR(UPPER(IFERROR(VLOOKUP($B111,'Base de datos'!$A$3:$K$24,11,FALSE),""))="NO",ISNUMBER(SEARCH("no sometida",IFERROR(VLOOKUP($B111,'Base de datos'!$A$3:$K$24,10,FALSE),""))),ISNUMBER(SEARCH("no fiscal",IFERROR(VLOOKUP($B111,'Base de datos'!$A$3:$K$24,10,FALSE),"")))),"",IFERROR(IF(OR(ISNUMBER(SEARCH("Hach",$B111)),ISNUMBER(SEARCH("Ketamina",$B111))),IF(VLOOKUP($B111,'Base de datos'!$A$3:$K$24,6,FALSE)="","",$E111*VLOOKUP($B111,'Base de datos'!$A$3:$K$24,6,FALSE)),IF(AND(IFERROR(VLOOKUP($B111,'Base de datos'!$A$3:$K$24,9,FALSE),"")&lt;&gt;"",IFERROR(VLOOKUP($B111,'Base de datos'!$A$3:$K$24,9,FALSE),"")&lt;&gt;0),"",IF(VLOOKUP($B111,'Base de datos'!$A$3:$K$24,6,FALSE)="","",$N111*VLOOKUP($B111,'Base de datos'!$A$3:$K$24,6,FALSE)))),"")))</f>
        <v/>
      </c>
      <c r="H111" s="7" t="str">
        <f>IF($B111="","",IF(OR(UPPER(IFERROR(VLOOKUP($B111,'Base de datos'!$A$3:$K$24,11,FALSE),""))="NO",ISNUMBER(SEARCH("no sometida",IFERROR(VLOOKUP($B111,'Base de datos'!$A$3:$K$24,10,FALSE),""))),ISNUMBER(SEARCH("no fiscal",IFERROR(VLOOKUP($B111,'Base de datos'!$A$3:$K$24,10,FALSE),"")))),"",IF(OR(ISNUMBER(SEARCH("Hach",$B111)),ISNUMBER(SEARCH("Ketamina",$B111))),"",IF(AND(IFERROR(VLOOKUP($B111,'Base de datos'!$A$3:$K$24,9,FALSE),"")&lt;&gt;"",IFERROR(VLOOKUP($B111,'Base de datos'!$A$3:$K$24,9,FALSE),"")&lt;&gt;0),$E111*IFERROR(VLOOKUP($B111,'Base de datos'!$A$3:$K$24,9,FALSE),""),IFERROR($O111*VLOOKUP($B111,'Base de datos'!$A$3:$K$24,4,FALSE),"")))))</f>
        <v/>
      </c>
      <c r="I111" s="5" t="str">
        <f>IFERROR(VLOOKUP($B111,'Base de datos'!$A$3:$K$24,7,FALSE),"")</f>
        <v/>
      </c>
      <c r="J111" s="13" t="str">
        <f>IFERROR(VLOOKUP($B111,'Base de datos'!$A$3:$K$24,10,FALSE),"")</f>
        <v/>
      </c>
      <c r="K111" s="6"/>
      <c r="L111" s="4"/>
      <c r="M111" s="6" t="str">
        <f>IF(OR(OR(UPPER(IFERROR(VLOOKUP($B111,'Base de datos'!$A$3:$K$24,11,FALSE),""))="NO",ISNUMBER(SEARCH("no sometida",IFERROR(VLOOKUP($B111,'Base de datos'!$A$3:$K$24,10,FALSE),""))),ISNUMBER(SEARCH("no fiscal",IFERROR(VLOOKUP($B111,'Base de datos'!$A$3:$K$24,10,FALSE),"")))),OR(ISNUMBER(SEARCH("Hach",$B111)),ISNUMBER(SEARCH("Ketamina",$B111))),AND(IFERROR(VLOOKUP($B111,'Base de datos'!$A$3:$K$24,9,FALSE),"")&lt;&gt;"",IFERROR(VLOOKUP($B111,'Base de datos'!$A$3:$K$24,9,FALSE),"")&lt;&gt;0)),"",IFERROR($E111*$C111/$I111,""))</f>
        <v/>
      </c>
      <c r="N111" s="6" t="str">
        <f>IF(OR(OR(UPPER(IFERROR(VLOOKUP($B111,'Base de datos'!$A$3:$K$24,11,FALSE),""))="NO",ISNUMBER(SEARCH("no sometida",IFERROR(VLOOKUP($B111,'Base de datos'!$A$3:$K$24,10,FALSE),""))),ISNUMBER(SEARCH("no fiscal",IFERROR(VLOOKUP($B111,'Base de datos'!$A$3:$K$24,10,FALSE),"")))),OR(ISNUMBER(SEARCH("Hach",$B111)),ISNUMBER(SEARCH("Ketamina",$B111))),AND(IFERROR(VLOOKUP($B111,'Base de datos'!$A$3:$K$24,9,FALSE),"")&lt;&gt;"",IFERROR(VLOOKUP($B111,'Base de datos'!$A$3:$K$24,9,FALSE),"")&lt;&gt;0)),"",IFERROR($E111*$C111/IFERROR(VLOOKUP($B111,'Base de datos'!$A$3:$K$24,5,FALSE),0),""))</f>
        <v/>
      </c>
      <c r="O111" s="6" t="str">
        <f>IF(OR(OR(UPPER(IFERROR(VLOOKUP($B111,'Base de datos'!$A$3:$K$24,11,FALSE),""))="NO",ISNUMBER(SEARCH("no sometida",IFERROR(VLOOKUP($B111,'Base de datos'!$A$3:$K$24,10,FALSE),""))),ISNUMBER(SEARCH("no fiscal",IFERROR(VLOOKUP($B111,'Base de datos'!$A$3:$K$24,10,FALSE),"")))),OR(ISNUMBER(SEARCH("Hach",$B111)),ISNUMBER(SEARCH("Ketamina",$B111))),AND(IFERROR(VLOOKUP($B111,'Base de datos'!$A$3:$K$24,9,FALSE),"")&lt;&gt;"",IFERROR(VLOOKUP($B111,'Base de datos'!$A$3:$K$24,9,FALSE),"")&lt;&gt;0)),"",IFERROR((($E111*$C111/IFERROR(VLOOKUP($B111,'Base de datos'!$A$3:$K$24,3,FALSE),0))*1000)/IFERROR(VLOOKUP($B111,'Base de datos'!$A$3:$K$24,2,FALSE),0),""))</f>
        <v/>
      </c>
    </row>
    <row r="112" spans="1:15" x14ac:dyDescent="0.25">
      <c r="A112" s="4"/>
      <c r="B112" s="4"/>
      <c r="C112" s="5" t="str">
        <f>IFERROR(VLOOKUP($B112,'Base de datos'!$A$3:$K$24,3,FALSE),"")</f>
        <v/>
      </c>
      <c r="D112" s="4" t="str">
        <f t="shared" si="3"/>
        <v/>
      </c>
      <c r="E112" s="6"/>
      <c r="F112" s="7" t="str">
        <f>IF($B112="","",IF(OR(UPPER(IFERROR(VLOOKUP($B112,'Base de datos'!$A$3:$K$24,11,FALSE),""))="NO",ISNUMBER(SEARCH("no sometida",IFERROR(VLOOKUP($B112,'Base de datos'!$A$3:$K$24,10,FALSE),""))),ISNUMBER(SEARCH("no fiscal",IFERROR(VLOOKUP($B112,'Base de datos'!$A$3:$K$24,10,FALSE),"")))),"",IF(OR(OR(ISNUMBER(SEARCH("Hach",$B112)),ISNUMBER(SEARCH("Ketamina",$B112))),AND(IFERROR(VLOOKUP($B112,'Base de datos'!$A$3:$K$24,9,FALSE),"")&lt;&gt;"",IFERROR(VLOOKUP($B112,'Base de datos'!$A$3:$K$24,9,FALSE),"")&lt;&gt;0)),"",IFERROR($M112*VLOOKUP($B112,'Base de datos'!$A$3:$K$24,8,FALSE)/1000,""))))</f>
        <v/>
      </c>
      <c r="G112" s="7" t="str">
        <f>IF($B112="","",IF(OR(UPPER(IFERROR(VLOOKUP($B112,'Base de datos'!$A$3:$K$24,11,FALSE),""))="NO",ISNUMBER(SEARCH("no sometida",IFERROR(VLOOKUP($B112,'Base de datos'!$A$3:$K$24,10,FALSE),""))),ISNUMBER(SEARCH("no fiscal",IFERROR(VLOOKUP($B112,'Base de datos'!$A$3:$K$24,10,FALSE),"")))),"",IFERROR(IF(OR(ISNUMBER(SEARCH("Hach",$B112)),ISNUMBER(SEARCH("Ketamina",$B112))),IF(VLOOKUP($B112,'Base de datos'!$A$3:$K$24,6,FALSE)="","",$E112*VLOOKUP($B112,'Base de datos'!$A$3:$K$24,6,FALSE)),IF(AND(IFERROR(VLOOKUP($B112,'Base de datos'!$A$3:$K$24,9,FALSE),"")&lt;&gt;"",IFERROR(VLOOKUP($B112,'Base de datos'!$A$3:$K$24,9,FALSE),"")&lt;&gt;0),"",IF(VLOOKUP($B112,'Base de datos'!$A$3:$K$24,6,FALSE)="","",$N112*VLOOKUP($B112,'Base de datos'!$A$3:$K$24,6,FALSE)))),"")))</f>
        <v/>
      </c>
      <c r="H112" s="7" t="str">
        <f>IF($B112="","",IF(OR(UPPER(IFERROR(VLOOKUP($B112,'Base de datos'!$A$3:$K$24,11,FALSE),""))="NO",ISNUMBER(SEARCH("no sometida",IFERROR(VLOOKUP($B112,'Base de datos'!$A$3:$K$24,10,FALSE),""))),ISNUMBER(SEARCH("no fiscal",IFERROR(VLOOKUP($B112,'Base de datos'!$A$3:$K$24,10,FALSE),"")))),"",IF(OR(ISNUMBER(SEARCH("Hach",$B112)),ISNUMBER(SEARCH("Ketamina",$B112))),"",IF(AND(IFERROR(VLOOKUP($B112,'Base de datos'!$A$3:$K$24,9,FALSE),"")&lt;&gt;"",IFERROR(VLOOKUP($B112,'Base de datos'!$A$3:$K$24,9,FALSE),"")&lt;&gt;0),$E112*IFERROR(VLOOKUP($B112,'Base de datos'!$A$3:$K$24,9,FALSE),""),IFERROR($O112*VLOOKUP($B112,'Base de datos'!$A$3:$K$24,4,FALSE),"")))))</f>
        <v/>
      </c>
      <c r="I112" s="5" t="str">
        <f>IFERROR(VLOOKUP($B112,'Base de datos'!$A$3:$K$24,7,FALSE),"")</f>
        <v/>
      </c>
      <c r="J112" s="13" t="str">
        <f>IFERROR(VLOOKUP($B112,'Base de datos'!$A$3:$K$24,10,FALSE),"")</f>
        <v/>
      </c>
      <c r="K112" s="6"/>
      <c r="L112" s="4"/>
      <c r="M112" s="6" t="str">
        <f>IF(OR(OR(UPPER(IFERROR(VLOOKUP($B112,'Base de datos'!$A$3:$K$24,11,FALSE),""))="NO",ISNUMBER(SEARCH("no sometida",IFERROR(VLOOKUP($B112,'Base de datos'!$A$3:$K$24,10,FALSE),""))),ISNUMBER(SEARCH("no fiscal",IFERROR(VLOOKUP($B112,'Base de datos'!$A$3:$K$24,10,FALSE),"")))),OR(ISNUMBER(SEARCH("Hach",$B112)),ISNUMBER(SEARCH("Ketamina",$B112))),AND(IFERROR(VLOOKUP($B112,'Base de datos'!$A$3:$K$24,9,FALSE),"")&lt;&gt;"",IFERROR(VLOOKUP($B112,'Base de datos'!$A$3:$K$24,9,FALSE),"")&lt;&gt;0)),"",IFERROR($E112*$C112/$I112,""))</f>
        <v/>
      </c>
      <c r="N112" s="6" t="str">
        <f>IF(OR(OR(UPPER(IFERROR(VLOOKUP($B112,'Base de datos'!$A$3:$K$24,11,FALSE),""))="NO",ISNUMBER(SEARCH("no sometida",IFERROR(VLOOKUP($B112,'Base de datos'!$A$3:$K$24,10,FALSE),""))),ISNUMBER(SEARCH("no fiscal",IFERROR(VLOOKUP($B112,'Base de datos'!$A$3:$K$24,10,FALSE),"")))),OR(ISNUMBER(SEARCH("Hach",$B112)),ISNUMBER(SEARCH("Ketamina",$B112))),AND(IFERROR(VLOOKUP($B112,'Base de datos'!$A$3:$K$24,9,FALSE),"")&lt;&gt;"",IFERROR(VLOOKUP($B112,'Base de datos'!$A$3:$K$24,9,FALSE),"")&lt;&gt;0)),"",IFERROR($E112*$C112/IFERROR(VLOOKUP($B112,'Base de datos'!$A$3:$K$24,5,FALSE),0),""))</f>
        <v/>
      </c>
      <c r="O112" s="6" t="str">
        <f>IF(OR(OR(UPPER(IFERROR(VLOOKUP($B112,'Base de datos'!$A$3:$K$24,11,FALSE),""))="NO",ISNUMBER(SEARCH("no sometida",IFERROR(VLOOKUP($B112,'Base de datos'!$A$3:$K$24,10,FALSE),""))),ISNUMBER(SEARCH("no fiscal",IFERROR(VLOOKUP($B112,'Base de datos'!$A$3:$K$24,10,FALSE),"")))),OR(ISNUMBER(SEARCH("Hach",$B112)),ISNUMBER(SEARCH("Ketamina",$B112))),AND(IFERROR(VLOOKUP($B112,'Base de datos'!$A$3:$K$24,9,FALSE),"")&lt;&gt;"",IFERROR(VLOOKUP($B112,'Base de datos'!$A$3:$K$24,9,FALSE),"")&lt;&gt;0)),"",IFERROR((($E112*$C112/IFERROR(VLOOKUP($B112,'Base de datos'!$A$3:$K$24,3,FALSE),0))*1000)/IFERROR(VLOOKUP($B112,'Base de datos'!$A$3:$K$24,2,FALSE),0),""))</f>
        <v/>
      </c>
    </row>
    <row r="113" spans="1:15" x14ac:dyDescent="0.25">
      <c r="A113" s="4"/>
      <c r="B113" s="4"/>
      <c r="C113" s="5" t="str">
        <f>IFERROR(VLOOKUP($B113,'Base de datos'!$A$3:$K$24,3,FALSE),"")</f>
        <v/>
      </c>
      <c r="D113" s="4" t="str">
        <f t="shared" si="3"/>
        <v/>
      </c>
      <c r="E113" s="6"/>
      <c r="F113" s="7" t="str">
        <f>IF($B113="","",IF(OR(UPPER(IFERROR(VLOOKUP($B113,'Base de datos'!$A$3:$K$24,11,FALSE),""))="NO",ISNUMBER(SEARCH("no sometida",IFERROR(VLOOKUP($B113,'Base de datos'!$A$3:$K$24,10,FALSE),""))),ISNUMBER(SEARCH("no fiscal",IFERROR(VLOOKUP($B113,'Base de datos'!$A$3:$K$24,10,FALSE),"")))),"",IF(OR(OR(ISNUMBER(SEARCH("Hach",$B113)),ISNUMBER(SEARCH("Ketamina",$B113))),AND(IFERROR(VLOOKUP($B113,'Base de datos'!$A$3:$K$24,9,FALSE),"")&lt;&gt;"",IFERROR(VLOOKUP($B113,'Base de datos'!$A$3:$K$24,9,FALSE),"")&lt;&gt;0)),"",IFERROR($M113*VLOOKUP($B113,'Base de datos'!$A$3:$K$24,8,FALSE)/1000,""))))</f>
        <v/>
      </c>
      <c r="G113" s="7" t="str">
        <f>IF($B113="","",IF(OR(UPPER(IFERROR(VLOOKUP($B113,'Base de datos'!$A$3:$K$24,11,FALSE),""))="NO",ISNUMBER(SEARCH("no sometida",IFERROR(VLOOKUP($B113,'Base de datos'!$A$3:$K$24,10,FALSE),""))),ISNUMBER(SEARCH("no fiscal",IFERROR(VLOOKUP($B113,'Base de datos'!$A$3:$K$24,10,FALSE),"")))),"",IFERROR(IF(OR(ISNUMBER(SEARCH("Hach",$B113)),ISNUMBER(SEARCH("Ketamina",$B113))),IF(VLOOKUP($B113,'Base de datos'!$A$3:$K$24,6,FALSE)="","",$E113*VLOOKUP($B113,'Base de datos'!$A$3:$K$24,6,FALSE)),IF(AND(IFERROR(VLOOKUP($B113,'Base de datos'!$A$3:$K$24,9,FALSE),"")&lt;&gt;"",IFERROR(VLOOKUP($B113,'Base de datos'!$A$3:$K$24,9,FALSE),"")&lt;&gt;0),"",IF(VLOOKUP($B113,'Base de datos'!$A$3:$K$24,6,FALSE)="","",$N113*VLOOKUP($B113,'Base de datos'!$A$3:$K$24,6,FALSE)))),"")))</f>
        <v/>
      </c>
      <c r="H113" s="7" t="str">
        <f>IF($B113="","",IF(OR(UPPER(IFERROR(VLOOKUP($B113,'Base de datos'!$A$3:$K$24,11,FALSE),""))="NO",ISNUMBER(SEARCH("no sometida",IFERROR(VLOOKUP($B113,'Base de datos'!$A$3:$K$24,10,FALSE),""))),ISNUMBER(SEARCH("no fiscal",IFERROR(VLOOKUP($B113,'Base de datos'!$A$3:$K$24,10,FALSE),"")))),"",IF(OR(ISNUMBER(SEARCH("Hach",$B113)),ISNUMBER(SEARCH("Ketamina",$B113))),"",IF(AND(IFERROR(VLOOKUP($B113,'Base de datos'!$A$3:$K$24,9,FALSE),"")&lt;&gt;"",IFERROR(VLOOKUP($B113,'Base de datos'!$A$3:$K$24,9,FALSE),"")&lt;&gt;0),$E113*IFERROR(VLOOKUP($B113,'Base de datos'!$A$3:$K$24,9,FALSE),""),IFERROR($O113*VLOOKUP($B113,'Base de datos'!$A$3:$K$24,4,FALSE),"")))))</f>
        <v/>
      </c>
      <c r="I113" s="5" t="str">
        <f>IFERROR(VLOOKUP($B113,'Base de datos'!$A$3:$K$24,7,FALSE),"")</f>
        <v/>
      </c>
      <c r="J113" s="13" t="str">
        <f>IFERROR(VLOOKUP($B113,'Base de datos'!$A$3:$K$24,10,FALSE),"")</f>
        <v/>
      </c>
      <c r="K113" s="6"/>
      <c r="L113" s="4"/>
      <c r="M113" s="6" t="str">
        <f>IF(OR(OR(UPPER(IFERROR(VLOOKUP($B113,'Base de datos'!$A$3:$K$24,11,FALSE),""))="NO",ISNUMBER(SEARCH("no sometida",IFERROR(VLOOKUP($B113,'Base de datos'!$A$3:$K$24,10,FALSE),""))),ISNUMBER(SEARCH("no fiscal",IFERROR(VLOOKUP($B113,'Base de datos'!$A$3:$K$24,10,FALSE),"")))),OR(ISNUMBER(SEARCH("Hach",$B113)),ISNUMBER(SEARCH("Ketamina",$B113))),AND(IFERROR(VLOOKUP($B113,'Base de datos'!$A$3:$K$24,9,FALSE),"")&lt;&gt;"",IFERROR(VLOOKUP($B113,'Base de datos'!$A$3:$K$24,9,FALSE),"")&lt;&gt;0)),"",IFERROR($E113*$C113/$I113,""))</f>
        <v/>
      </c>
      <c r="N113" s="6" t="str">
        <f>IF(OR(OR(UPPER(IFERROR(VLOOKUP($B113,'Base de datos'!$A$3:$K$24,11,FALSE),""))="NO",ISNUMBER(SEARCH("no sometida",IFERROR(VLOOKUP($B113,'Base de datos'!$A$3:$K$24,10,FALSE),""))),ISNUMBER(SEARCH("no fiscal",IFERROR(VLOOKUP($B113,'Base de datos'!$A$3:$K$24,10,FALSE),"")))),OR(ISNUMBER(SEARCH("Hach",$B113)),ISNUMBER(SEARCH("Ketamina",$B113))),AND(IFERROR(VLOOKUP($B113,'Base de datos'!$A$3:$K$24,9,FALSE),"")&lt;&gt;"",IFERROR(VLOOKUP($B113,'Base de datos'!$A$3:$K$24,9,FALSE),"")&lt;&gt;0)),"",IFERROR($E113*$C113/IFERROR(VLOOKUP($B113,'Base de datos'!$A$3:$K$24,5,FALSE),0),""))</f>
        <v/>
      </c>
      <c r="O113" s="6" t="str">
        <f>IF(OR(OR(UPPER(IFERROR(VLOOKUP($B113,'Base de datos'!$A$3:$K$24,11,FALSE),""))="NO",ISNUMBER(SEARCH("no sometida",IFERROR(VLOOKUP($B113,'Base de datos'!$A$3:$K$24,10,FALSE),""))),ISNUMBER(SEARCH("no fiscal",IFERROR(VLOOKUP($B113,'Base de datos'!$A$3:$K$24,10,FALSE),"")))),OR(ISNUMBER(SEARCH("Hach",$B113)),ISNUMBER(SEARCH("Ketamina",$B113))),AND(IFERROR(VLOOKUP($B113,'Base de datos'!$A$3:$K$24,9,FALSE),"")&lt;&gt;"",IFERROR(VLOOKUP($B113,'Base de datos'!$A$3:$K$24,9,FALSE),"")&lt;&gt;0)),"",IFERROR((($E113*$C113/IFERROR(VLOOKUP($B113,'Base de datos'!$A$3:$K$24,3,FALSE),0))*1000)/IFERROR(VLOOKUP($B113,'Base de datos'!$A$3:$K$24,2,FALSE),0),""))</f>
        <v/>
      </c>
    </row>
    <row r="114" spans="1:15" x14ac:dyDescent="0.25">
      <c r="A114" s="4"/>
      <c r="B114" s="4"/>
      <c r="C114" s="5" t="str">
        <f>IFERROR(VLOOKUP($B114,'Base de datos'!$A$3:$K$24,3,FALSE),"")</f>
        <v/>
      </c>
      <c r="D114" s="4" t="str">
        <f t="shared" si="3"/>
        <v/>
      </c>
      <c r="E114" s="6"/>
      <c r="F114" s="7" t="str">
        <f>IF($B114="","",IF(OR(UPPER(IFERROR(VLOOKUP($B114,'Base de datos'!$A$3:$K$24,11,FALSE),""))="NO",ISNUMBER(SEARCH("no sometida",IFERROR(VLOOKUP($B114,'Base de datos'!$A$3:$K$24,10,FALSE),""))),ISNUMBER(SEARCH("no fiscal",IFERROR(VLOOKUP($B114,'Base de datos'!$A$3:$K$24,10,FALSE),"")))),"",IF(OR(OR(ISNUMBER(SEARCH("Hach",$B114)),ISNUMBER(SEARCH("Ketamina",$B114))),AND(IFERROR(VLOOKUP($B114,'Base de datos'!$A$3:$K$24,9,FALSE),"")&lt;&gt;"",IFERROR(VLOOKUP($B114,'Base de datos'!$A$3:$K$24,9,FALSE),"")&lt;&gt;0)),"",IFERROR($M114*VLOOKUP($B114,'Base de datos'!$A$3:$K$24,8,FALSE)/1000,""))))</f>
        <v/>
      </c>
      <c r="G114" s="7" t="str">
        <f>IF($B114="","",IF(OR(UPPER(IFERROR(VLOOKUP($B114,'Base de datos'!$A$3:$K$24,11,FALSE),""))="NO",ISNUMBER(SEARCH("no sometida",IFERROR(VLOOKUP($B114,'Base de datos'!$A$3:$K$24,10,FALSE),""))),ISNUMBER(SEARCH("no fiscal",IFERROR(VLOOKUP($B114,'Base de datos'!$A$3:$K$24,10,FALSE),"")))),"",IFERROR(IF(OR(ISNUMBER(SEARCH("Hach",$B114)),ISNUMBER(SEARCH("Ketamina",$B114))),IF(VLOOKUP($B114,'Base de datos'!$A$3:$K$24,6,FALSE)="","",$E114*VLOOKUP($B114,'Base de datos'!$A$3:$K$24,6,FALSE)),IF(AND(IFERROR(VLOOKUP($B114,'Base de datos'!$A$3:$K$24,9,FALSE),"")&lt;&gt;"",IFERROR(VLOOKUP($B114,'Base de datos'!$A$3:$K$24,9,FALSE),"")&lt;&gt;0),"",IF(VLOOKUP($B114,'Base de datos'!$A$3:$K$24,6,FALSE)="","",$N114*VLOOKUP($B114,'Base de datos'!$A$3:$K$24,6,FALSE)))),"")))</f>
        <v/>
      </c>
      <c r="H114" s="7" t="str">
        <f>IF($B114="","",IF(OR(UPPER(IFERROR(VLOOKUP($B114,'Base de datos'!$A$3:$K$24,11,FALSE),""))="NO",ISNUMBER(SEARCH("no sometida",IFERROR(VLOOKUP($B114,'Base de datos'!$A$3:$K$24,10,FALSE),""))),ISNUMBER(SEARCH("no fiscal",IFERROR(VLOOKUP($B114,'Base de datos'!$A$3:$K$24,10,FALSE),"")))),"",IF(OR(ISNUMBER(SEARCH("Hach",$B114)),ISNUMBER(SEARCH("Ketamina",$B114))),"",IF(AND(IFERROR(VLOOKUP($B114,'Base de datos'!$A$3:$K$24,9,FALSE),"")&lt;&gt;"",IFERROR(VLOOKUP($B114,'Base de datos'!$A$3:$K$24,9,FALSE),"")&lt;&gt;0),$E114*IFERROR(VLOOKUP($B114,'Base de datos'!$A$3:$K$24,9,FALSE),""),IFERROR($O114*VLOOKUP($B114,'Base de datos'!$A$3:$K$24,4,FALSE),"")))))</f>
        <v/>
      </c>
      <c r="I114" s="5" t="str">
        <f>IFERROR(VLOOKUP($B114,'Base de datos'!$A$3:$K$24,7,FALSE),"")</f>
        <v/>
      </c>
      <c r="J114" s="13" t="str">
        <f>IFERROR(VLOOKUP($B114,'Base de datos'!$A$3:$K$24,10,FALSE),"")</f>
        <v/>
      </c>
      <c r="K114" s="6"/>
      <c r="L114" s="4"/>
      <c r="M114" s="6" t="str">
        <f>IF(OR(OR(UPPER(IFERROR(VLOOKUP($B114,'Base de datos'!$A$3:$K$24,11,FALSE),""))="NO",ISNUMBER(SEARCH("no sometida",IFERROR(VLOOKUP($B114,'Base de datos'!$A$3:$K$24,10,FALSE),""))),ISNUMBER(SEARCH("no fiscal",IFERROR(VLOOKUP($B114,'Base de datos'!$A$3:$K$24,10,FALSE),"")))),OR(ISNUMBER(SEARCH("Hach",$B114)),ISNUMBER(SEARCH("Ketamina",$B114))),AND(IFERROR(VLOOKUP($B114,'Base de datos'!$A$3:$K$24,9,FALSE),"")&lt;&gt;"",IFERROR(VLOOKUP($B114,'Base de datos'!$A$3:$K$24,9,FALSE),"")&lt;&gt;0)),"",IFERROR($E114*$C114/$I114,""))</f>
        <v/>
      </c>
      <c r="N114" s="6" t="str">
        <f>IF(OR(OR(UPPER(IFERROR(VLOOKUP($B114,'Base de datos'!$A$3:$K$24,11,FALSE),""))="NO",ISNUMBER(SEARCH("no sometida",IFERROR(VLOOKUP($B114,'Base de datos'!$A$3:$K$24,10,FALSE),""))),ISNUMBER(SEARCH("no fiscal",IFERROR(VLOOKUP($B114,'Base de datos'!$A$3:$K$24,10,FALSE),"")))),OR(ISNUMBER(SEARCH("Hach",$B114)),ISNUMBER(SEARCH("Ketamina",$B114))),AND(IFERROR(VLOOKUP($B114,'Base de datos'!$A$3:$K$24,9,FALSE),"")&lt;&gt;"",IFERROR(VLOOKUP($B114,'Base de datos'!$A$3:$K$24,9,FALSE),"")&lt;&gt;0)),"",IFERROR($E114*$C114/IFERROR(VLOOKUP($B114,'Base de datos'!$A$3:$K$24,5,FALSE),0),""))</f>
        <v/>
      </c>
      <c r="O114" s="6" t="str">
        <f>IF(OR(OR(UPPER(IFERROR(VLOOKUP($B114,'Base de datos'!$A$3:$K$24,11,FALSE),""))="NO",ISNUMBER(SEARCH("no sometida",IFERROR(VLOOKUP($B114,'Base de datos'!$A$3:$K$24,10,FALSE),""))),ISNUMBER(SEARCH("no fiscal",IFERROR(VLOOKUP($B114,'Base de datos'!$A$3:$K$24,10,FALSE),"")))),OR(ISNUMBER(SEARCH("Hach",$B114)),ISNUMBER(SEARCH("Ketamina",$B114))),AND(IFERROR(VLOOKUP($B114,'Base de datos'!$A$3:$K$24,9,FALSE),"")&lt;&gt;"",IFERROR(VLOOKUP($B114,'Base de datos'!$A$3:$K$24,9,FALSE),"")&lt;&gt;0)),"",IFERROR((($E114*$C114/IFERROR(VLOOKUP($B114,'Base de datos'!$A$3:$K$24,3,FALSE),0))*1000)/IFERROR(VLOOKUP($B114,'Base de datos'!$A$3:$K$24,2,FALSE),0),""))</f>
        <v/>
      </c>
    </row>
    <row r="115" spans="1:15" x14ac:dyDescent="0.25">
      <c r="A115" s="4"/>
      <c r="B115" s="4"/>
      <c r="C115" s="5" t="str">
        <f>IFERROR(VLOOKUP($B115,'Base de datos'!$A$3:$K$24,3,FALSE),"")</f>
        <v/>
      </c>
      <c r="D115" s="4" t="str">
        <f t="shared" si="3"/>
        <v/>
      </c>
      <c r="E115" s="6"/>
      <c r="F115" s="7" t="str">
        <f>IF($B115="","",IF(OR(UPPER(IFERROR(VLOOKUP($B115,'Base de datos'!$A$3:$K$24,11,FALSE),""))="NO",ISNUMBER(SEARCH("no sometida",IFERROR(VLOOKUP($B115,'Base de datos'!$A$3:$K$24,10,FALSE),""))),ISNUMBER(SEARCH("no fiscal",IFERROR(VLOOKUP($B115,'Base de datos'!$A$3:$K$24,10,FALSE),"")))),"",IF(OR(OR(ISNUMBER(SEARCH("Hach",$B115)),ISNUMBER(SEARCH("Ketamina",$B115))),AND(IFERROR(VLOOKUP($B115,'Base de datos'!$A$3:$K$24,9,FALSE),"")&lt;&gt;"",IFERROR(VLOOKUP($B115,'Base de datos'!$A$3:$K$24,9,FALSE),"")&lt;&gt;0)),"",IFERROR($M115*VLOOKUP($B115,'Base de datos'!$A$3:$K$24,8,FALSE)/1000,""))))</f>
        <v/>
      </c>
      <c r="G115" s="7" t="str">
        <f>IF($B115="","",IF(OR(UPPER(IFERROR(VLOOKUP($B115,'Base de datos'!$A$3:$K$24,11,FALSE),""))="NO",ISNUMBER(SEARCH("no sometida",IFERROR(VLOOKUP($B115,'Base de datos'!$A$3:$K$24,10,FALSE),""))),ISNUMBER(SEARCH("no fiscal",IFERROR(VLOOKUP($B115,'Base de datos'!$A$3:$K$24,10,FALSE),"")))),"",IFERROR(IF(OR(ISNUMBER(SEARCH("Hach",$B115)),ISNUMBER(SEARCH("Ketamina",$B115))),IF(VLOOKUP($B115,'Base de datos'!$A$3:$K$24,6,FALSE)="","",$E115*VLOOKUP($B115,'Base de datos'!$A$3:$K$24,6,FALSE)),IF(AND(IFERROR(VLOOKUP($B115,'Base de datos'!$A$3:$K$24,9,FALSE),"")&lt;&gt;"",IFERROR(VLOOKUP($B115,'Base de datos'!$A$3:$K$24,9,FALSE),"")&lt;&gt;0),"",IF(VLOOKUP($B115,'Base de datos'!$A$3:$K$24,6,FALSE)="","",$N115*VLOOKUP($B115,'Base de datos'!$A$3:$K$24,6,FALSE)))),"")))</f>
        <v/>
      </c>
      <c r="H115" s="7" t="str">
        <f>IF($B115="","",IF(OR(UPPER(IFERROR(VLOOKUP($B115,'Base de datos'!$A$3:$K$24,11,FALSE),""))="NO",ISNUMBER(SEARCH("no sometida",IFERROR(VLOOKUP($B115,'Base de datos'!$A$3:$K$24,10,FALSE),""))),ISNUMBER(SEARCH("no fiscal",IFERROR(VLOOKUP($B115,'Base de datos'!$A$3:$K$24,10,FALSE),"")))),"",IF(OR(ISNUMBER(SEARCH("Hach",$B115)),ISNUMBER(SEARCH("Ketamina",$B115))),"",IF(AND(IFERROR(VLOOKUP($B115,'Base de datos'!$A$3:$K$24,9,FALSE),"")&lt;&gt;"",IFERROR(VLOOKUP($B115,'Base de datos'!$A$3:$K$24,9,FALSE),"")&lt;&gt;0),$E115*IFERROR(VLOOKUP($B115,'Base de datos'!$A$3:$K$24,9,FALSE),""),IFERROR($O115*VLOOKUP($B115,'Base de datos'!$A$3:$K$24,4,FALSE),"")))))</f>
        <v/>
      </c>
      <c r="I115" s="5" t="str">
        <f>IFERROR(VLOOKUP($B115,'Base de datos'!$A$3:$K$24,7,FALSE),"")</f>
        <v/>
      </c>
      <c r="J115" s="13" t="str">
        <f>IFERROR(VLOOKUP($B115,'Base de datos'!$A$3:$K$24,10,FALSE),"")</f>
        <v/>
      </c>
      <c r="K115" s="6"/>
      <c r="L115" s="4"/>
      <c r="M115" s="6" t="str">
        <f>IF(OR(OR(UPPER(IFERROR(VLOOKUP($B115,'Base de datos'!$A$3:$K$24,11,FALSE),""))="NO",ISNUMBER(SEARCH("no sometida",IFERROR(VLOOKUP($B115,'Base de datos'!$A$3:$K$24,10,FALSE),""))),ISNUMBER(SEARCH("no fiscal",IFERROR(VLOOKUP($B115,'Base de datos'!$A$3:$K$24,10,FALSE),"")))),OR(ISNUMBER(SEARCH("Hach",$B115)),ISNUMBER(SEARCH("Ketamina",$B115))),AND(IFERROR(VLOOKUP($B115,'Base de datos'!$A$3:$K$24,9,FALSE),"")&lt;&gt;"",IFERROR(VLOOKUP($B115,'Base de datos'!$A$3:$K$24,9,FALSE),"")&lt;&gt;0)),"",IFERROR($E115*$C115/$I115,""))</f>
        <v/>
      </c>
      <c r="N115" s="6" t="str">
        <f>IF(OR(OR(UPPER(IFERROR(VLOOKUP($B115,'Base de datos'!$A$3:$K$24,11,FALSE),""))="NO",ISNUMBER(SEARCH("no sometida",IFERROR(VLOOKUP($B115,'Base de datos'!$A$3:$K$24,10,FALSE),""))),ISNUMBER(SEARCH("no fiscal",IFERROR(VLOOKUP($B115,'Base de datos'!$A$3:$K$24,10,FALSE),"")))),OR(ISNUMBER(SEARCH("Hach",$B115)),ISNUMBER(SEARCH("Ketamina",$B115))),AND(IFERROR(VLOOKUP($B115,'Base de datos'!$A$3:$K$24,9,FALSE),"")&lt;&gt;"",IFERROR(VLOOKUP($B115,'Base de datos'!$A$3:$K$24,9,FALSE),"")&lt;&gt;0)),"",IFERROR($E115*$C115/IFERROR(VLOOKUP($B115,'Base de datos'!$A$3:$K$24,5,FALSE),0),""))</f>
        <v/>
      </c>
      <c r="O115" s="6" t="str">
        <f>IF(OR(OR(UPPER(IFERROR(VLOOKUP($B115,'Base de datos'!$A$3:$K$24,11,FALSE),""))="NO",ISNUMBER(SEARCH("no sometida",IFERROR(VLOOKUP($B115,'Base de datos'!$A$3:$K$24,10,FALSE),""))),ISNUMBER(SEARCH("no fiscal",IFERROR(VLOOKUP($B115,'Base de datos'!$A$3:$K$24,10,FALSE),"")))),OR(ISNUMBER(SEARCH("Hach",$B115)),ISNUMBER(SEARCH("Ketamina",$B115))),AND(IFERROR(VLOOKUP($B115,'Base de datos'!$A$3:$K$24,9,FALSE),"")&lt;&gt;"",IFERROR(VLOOKUP($B115,'Base de datos'!$A$3:$K$24,9,FALSE),"")&lt;&gt;0)),"",IFERROR((($E115*$C115/IFERROR(VLOOKUP($B115,'Base de datos'!$A$3:$K$24,3,FALSE),0))*1000)/IFERROR(VLOOKUP($B115,'Base de datos'!$A$3:$K$24,2,FALSE),0),""))</f>
        <v/>
      </c>
    </row>
    <row r="116" spans="1:15" x14ac:dyDescent="0.25">
      <c r="A116" s="4"/>
      <c r="B116" s="4"/>
      <c r="C116" s="5" t="str">
        <f>IFERROR(VLOOKUP($B116,'Base de datos'!$A$3:$K$24,3,FALSE),"")</f>
        <v/>
      </c>
      <c r="D116" s="4" t="str">
        <f t="shared" si="3"/>
        <v/>
      </c>
      <c r="E116" s="6"/>
      <c r="F116" s="7" t="str">
        <f>IF($B116="","",IF(OR(UPPER(IFERROR(VLOOKUP($B116,'Base de datos'!$A$3:$K$24,11,FALSE),""))="NO",ISNUMBER(SEARCH("no sometida",IFERROR(VLOOKUP($B116,'Base de datos'!$A$3:$K$24,10,FALSE),""))),ISNUMBER(SEARCH("no fiscal",IFERROR(VLOOKUP($B116,'Base de datos'!$A$3:$K$24,10,FALSE),"")))),"",IF(OR(OR(ISNUMBER(SEARCH("Hach",$B116)),ISNUMBER(SEARCH("Ketamina",$B116))),AND(IFERROR(VLOOKUP($B116,'Base de datos'!$A$3:$K$24,9,FALSE),"")&lt;&gt;"",IFERROR(VLOOKUP($B116,'Base de datos'!$A$3:$K$24,9,FALSE),"")&lt;&gt;0)),"",IFERROR($M116*VLOOKUP($B116,'Base de datos'!$A$3:$K$24,8,FALSE)/1000,""))))</f>
        <v/>
      </c>
      <c r="G116" s="7" t="str">
        <f>IF($B116="","",IF(OR(UPPER(IFERROR(VLOOKUP($B116,'Base de datos'!$A$3:$K$24,11,FALSE),""))="NO",ISNUMBER(SEARCH("no sometida",IFERROR(VLOOKUP($B116,'Base de datos'!$A$3:$K$24,10,FALSE),""))),ISNUMBER(SEARCH("no fiscal",IFERROR(VLOOKUP($B116,'Base de datos'!$A$3:$K$24,10,FALSE),"")))),"",IFERROR(IF(OR(ISNUMBER(SEARCH("Hach",$B116)),ISNUMBER(SEARCH("Ketamina",$B116))),IF(VLOOKUP($B116,'Base de datos'!$A$3:$K$24,6,FALSE)="","",$E116*VLOOKUP($B116,'Base de datos'!$A$3:$K$24,6,FALSE)),IF(AND(IFERROR(VLOOKUP($B116,'Base de datos'!$A$3:$K$24,9,FALSE),"")&lt;&gt;"",IFERROR(VLOOKUP($B116,'Base de datos'!$A$3:$K$24,9,FALSE),"")&lt;&gt;0),"",IF(VLOOKUP($B116,'Base de datos'!$A$3:$K$24,6,FALSE)="","",$N116*VLOOKUP($B116,'Base de datos'!$A$3:$K$24,6,FALSE)))),"")))</f>
        <v/>
      </c>
      <c r="H116" s="7" t="str">
        <f>IF($B116="","",IF(OR(UPPER(IFERROR(VLOOKUP($B116,'Base de datos'!$A$3:$K$24,11,FALSE),""))="NO",ISNUMBER(SEARCH("no sometida",IFERROR(VLOOKUP($B116,'Base de datos'!$A$3:$K$24,10,FALSE),""))),ISNUMBER(SEARCH("no fiscal",IFERROR(VLOOKUP($B116,'Base de datos'!$A$3:$K$24,10,FALSE),"")))),"",IF(OR(ISNUMBER(SEARCH("Hach",$B116)),ISNUMBER(SEARCH("Ketamina",$B116))),"",IF(AND(IFERROR(VLOOKUP($B116,'Base de datos'!$A$3:$K$24,9,FALSE),"")&lt;&gt;"",IFERROR(VLOOKUP($B116,'Base de datos'!$A$3:$K$24,9,FALSE),"")&lt;&gt;0),$E116*IFERROR(VLOOKUP($B116,'Base de datos'!$A$3:$K$24,9,FALSE),""),IFERROR($O116*VLOOKUP($B116,'Base de datos'!$A$3:$K$24,4,FALSE),"")))))</f>
        <v/>
      </c>
      <c r="I116" s="5" t="str">
        <f>IFERROR(VLOOKUP($B116,'Base de datos'!$A$3:$K$24,7,FALSE),"")</f>
        <v/>
      </c>
      <c r="J116" s="13" t="str">
        <f>IFERROR(VLOOKUP($B116,'Base de datos'!$A$3:$K$24,10,FALSE),"")</f>
        <v/>
      </c>
      <c r="K116" s="6"/>
      <c r="L116" s="4"/>
      <c r="M116" s="6" t="str">
        <f>IF(OR(OR(UPPER(IFERROR(VLOOKUP($B116,'Base de datos'!$A$3:$K$24,11,FALSE),""))="NO",ISNUMBER(SEARCH("no sometida",IFERROR(VLOOKUP($B116,'Base de datos'!$A$3:$K$24,10,FALSE),""))),ISNUMBER(SEARCH("no fiscal",IFERROR(VLOOKUP($B116,'Base de datos'!$A$3:$K$24,10,FALSE),"")))),OR(ISNUMBER(SEARCH("Hach",$B116)),ISNUMBER(SEARCH("Ketamina",$B116))),AND(IFERROR(VLOOKUP($B116,'Base de datos'!$A$3:$K$24,9,FALSE),"")&lt;&gt;"",IFERROR(VLOOKUP($B116,'Base de datos'!$A$3:$K$24,9,FALSE),"")&lt;&gt;0)),"",IFERROR($E116*$C116/$I116,""))</f>
        <v/>
      </c>
      <c r="N116" s="6" t="str">
        <f>IF(OR(OR(UPPER(IFERROR(VLOOKUP($B116,'Base de datos'!$A$3:$K$24,11,FALSE),""))="NO",ISNUMBER(SEARCH("no sometida",IFERROR(VLOOKUP($B116,'Base de datos'!$A$3:$K$24,10,FALSE),""))),ISNUMBER(SEARCH("no fiscal",IFERROR(VLOOKUP($B116,'Base de datos'!$A$3:$K$24,10,FALSE),"")))),OR(ISNUMBER(SEARCH("Hach",$B116)),ISNUMBER(SEARCH("Ketamina",$B116))),AND(IFERROR(VLOOKUP($B116,'Base de datos'!$A$3:$K$24,9,FALSE),"")&lt;&gt;"",IFERROR(VLOOKUP($B116,'Base de datos'!$A$3:$K$24,9,FALSE),"")&lt;&gt;0)),"",IFERROR($E116*$C116/IFERROR(VLOOKUP($B116,'Base de datos'!$A$3:$K$24,5,FALSE),0),""))</f>
        <v/>
      </c>
      <c r="O116" s="6" t="str">
        <f>IF(OR(OR(UPPER(IFERROR(VLOOKUP($B116,'Base de datos'!$A$3:$K$24,11,FALSE),""))="NO",ISNUMBER(SEARCH("no sometida",IFERROR(VLOOKUP($B116,'Base de datos'!$A$3:$K$24,10,FALSE),""))),ISNUMBER(SEARCH("no fiscal",IFERROR(VLOOKUP($B116,'Base de datos'!$A$3:$K$24,10,FALSE),"")))),OR(ISNUMBER(SEARCH("Hach",$B116)),ISNUMBER(SEARCH("Ketamina",$B116))),AND(IFERROR(VLOOKUP($B116,'Base de datos'!$A$3:$K$24,9,FALSE),"")&lt;&gt;"",IFERROR(VLOOKUP($B116,'Base de datos'!$A$3:$K$24,9,FALSE),"")&lt;&gt;0)),"",IFERROR((($E116*$C116/IFERROR(VLOOKUP($B116,'Base de datos'!$A$3:$K$24,3,FALSE),0))*1000)/IFERROR(VLOOKUP($B116,'Base de datos'!$A$3:$K$24,2,FALSE),0),""))</f>
        <v/>
      </c>
    </row>
    <row r="117" spans="1:15" x14ac:dyDescent="0.25">
      <c r="A117" s="4"/>
      <c r="B117" s="4"/>
      <c r="C117" s="5" t="str">
        <f>IFERROR(VLOOKUP($B117,'Base de datos'!$A$3:$K$24,3,FALSE),"")</f>
        <v/>
      </c>
      <c r="D117" s="4" t="str">
        <f t="shared" si="3"/>
        <v/>
      </c>
      <c r="E117" s="6"/>
      <c r="F117" s="7" t="str">
        <f>IF($B117="","",IF(OR(UPPER(IFERROR(VLOOKUP($B117,'Base de datos'!$A$3:$K$24,11,FALSE),""))="NO",ISNUMBER(SEARCH("no sometida",IFERROR(VLOOKUP($B117,'Base de datos'!$A$3:$K$24,10,FALSE),""))),ISNUMBER(SEARCH("no fiscal",IFERROR(VLOOKUP($B117,'Base de datos'!$A$3:$K$24,10,FALSE),"")))),"",IF(OR(OR(ISNUMBER(SEARCH("Hach",$B117)),ISNUMBER(SEARCH("Ketamina",$B117))),AND(IFERROR(VLOOKUP($B117,'Base de datos'!$A$3:$K$24,9,FALSE),"")&lt;&gt;"",IFERROR(VLOOKUP($B117,'Base de datos'!$A$3:$K$24,9,FALSE),"")&lt;&gt;0)),"",IFERROR($M117*VLOOKUP($B117,'Base de datos'!$A$3:$K$24,8,FALSE)/1000,""))))</f>
        <v/>
      </c>
      <c r="G117" s="7" t="str">
        <f>IF($B117="","",IF(OR(UPPER(IFERROR(VLOOKUP($B117,'Base de datos'!$A$3:$K$24,11,FALSE),""))="NO",ISNUMBER(SEARCH("no sometida",IFERROR(VLOOKUP($B117,'Base de datos'!$A$3:$K$24,10,FALSE),""))),ISNUMBER(SEARCH("no fiscal",IFERROR(VLOOKUP($B117,'Base de datos'!$A$3:$K$24,10,FALSE),"")))),"",IFERROR(IF(OR(ISNUMBER(SEARCH("Hach",$B117)),ISNUMBER(SEARCH("Ketamina",$B117))),IF(VLOOKUP($B117,'Base de datos'!$A$3:$K$24,6,FALSE)="","",$E117*VLOOKUP($B117,'Base de datos'!$A$3:$K$24,6,FALSE)),IF(AND(IFERROR(VLOOKUP($B117,'Base de datos'!$A$3:$K$24,9,FALSE),"")&lt;&gt;"",IFERROR(VLOOKUP($B117,'Base de datos'!$A$3:$K$24,9,FALSE),"")&lt;&gt;0),"",IF(VLOOKUP($B117,'Base de datos'!$A$3:$K$24,6,FALSE)="","",$N117*VLOOKUP($B117,'Base de datos'!$A$3:$K$24,6,FALSE)))),"")))</f>
        <v/>
      </c>
      <c r="H117" s="7" t="str">
        <f>IF($B117="","",IF(OR(UPPER(IFERROR(VLOOKUP($B117,'Base de datos'!$A$3:$K$24,11,FALSE),""))="NO",ISNUMBER(SEARCH("no sometida",IFERROR(VLOOKUP($B117,'Base de datos'!$A$3:$K$24,10,FALSE),""))),ISNUMBER(SEARCH("no fiscal",IFERROR(VLOOKUP($B117,'Base de datos'!$A$3:$K$24,10,FALSE),"")))),"",IF(OR(ISNUMBER(SEARCH("Hach",$B117)),ISNUMBER(SEARCH("Ketamina",$B117))),"",IF(AND(IFERROR(VLOOKUP($B117,'Base de datos'!$A$3:$K$24,9,FALSE),"")&lt;&gt;"",IFERROR(VLOOKUP($B117,'Base de datos'!$A$3:$K$24,9,FALSE),"")&lt;&gt;0),$E117*IFERROR(VLOOKUP($B117,'Base de datos'!$A$3:$K$24,9,FALSE),""),IFERROR($O117*VLOOKUP($B117,'Base de datos'!$A$3:$K$24,4,FALSE),"")))))</f>
        <v/>
      </c>
      <c r="I117" s="5" t="str">
        <f>IFERROR(VLOOKUP($B117,'Base de datos'!$A$3:$K$24,7,FALSE),"")</f>
        <v/>
      </c>
      <c r="J117" s="13" t="str">
        <f>IFERROR(VLOOKUP($B117,'Base de datos'!$A$3:$K$24,10,FALSE),"")</f>
        <v/>
      </c>
      <c r="K117" s="6"/>
      <c r="L117" s="4"/>
      <c r="M117" s="6" t="str">
        <f>IF(OR(OR(UPPER(IFERROR(VLOOKUP($B117,'Base de datos'!$A$3:$K$24,11,FALSE),""))="NO",ISNUMBER(SEARCH("no sometida",IFERROR(VLOOKUP($B117,'Base de datos'!$A$3:$K$24,10,FALSE),""))),ISNUMBER(SEARCH("no fiscal",IFERROR(VLOOKUP($B117,'Base de datos'!$A$3:$K$24,10,FALSE),"")))),OR(ISNUMBER(SEARCH("Hach",$B117)),ISNUMBER(SEARCH("Ketamina",$B117))),AND(IFERROR(VLOOKUP($B117,'Base de datos'!$A$3:$K$24,9,FALSE),"")&lt;&gt;"",IFERROR(VLOOKUP($B117,'Base de datos'!$A$3:$K$24,9,FALSE),"")&lt;&gt;0)),"",IFERROR($E117*$C117/$I117,""))</f>
        <v/>
      </c>
      <c r="N117" s="6" t="str">
        <f>IF(OR(OR(UPPER(IFERROR(VLOOKUP($B117,'Base de datos'!$A$3:$K$24,11,FALSE),""))="NO",ISNUMBER(SEARCH("no sometida",IFERROR(VLOOKUP($B117,'Base de datos'!$A$3:$K$24,10,FALSE),""))),ISNUMBER(SEARCH("no fiscal",IFERROR(VLOOKUP($B117,'Base de datos'!$A$3:$K$24,10,FALSE),"")))),OR(ISNUMBER(SEARCH("Hach",$B117)),ISNUMBER(SEARCH("Ketamina",$B117))),AND(IFERROR(VLOOKUP($B117,'Base de datos'!$A$3:$K$24,9,FALSE),"")&lt;&gt;"",IFERROR(VLOOKUP($B117,'Base de datos'!$A$3:$K$24,9,FALSE),"")&lt;&gt;0)),"",IFERROR($E117*$C117/IFERROR(VLOOKUP($B117,'Base de datos'!$A$3:$K$24,5,FALSE),0),""))</f>
        <v/>
      </c>
      <c r="O117" s="6" t="str">
        <f>IF(OR(OR(UPPER(IFERROR(VLOOKUP($B117,'Base de datos'!$A$3:$K$24,11,FALSE),""))="NO",ISNUMBER(SEARCH("no sometida",IFERROR(VLOOKUP($B117,'Base de datos'!$A$3:$K$24,10,FALSE),""))),ISNUMBER(SEARCH("no fiscal",IFERROR(VLOOKUP($B117,'Base de datos'!$A$3:$K$24,10,FALSE),"")))),OR(ISNUMBER(SEARCH("Hach",$B117)),ISNUMBER(SEARCH("Ketamina",$B117))),AND(IFERROR(VLOOKUP($B117,'Base de datos'!$A$3:$K$24,9,FALSE),"")&lt;&gt;"",IFERROR(VLOOKUP($B117,'Base de datos'!$A$3:$K$24,9,FALSE),"")&lt;&gt;0)),"",IFERROR((($E117*$C117/IFERROR(VLOOKUP($B117,'Base de datos'!$A$3:$K$24,3,FALSE),0))*1000)/IFERROR(VLOOKUP($B117,'Base de datos'!$A$3:$K$24,2,FALSE),0),""))</f>
        <v/>
      </c>
    </row>
    <row r="118" spans="1:15" x14ac:dyDescent="0.25">
      <c r="A118" s="4"/>
      <c r="B118" s="4"/>
      <c r="C118" s="5" t="str">
        <f>IFERROR(VLOOKUP($B118,'Base de datos'!$A$3:$K$24,3,FALSE),"")</f>
        <v/>
      </c>
      <c r="D118" s="4" t="str">
        <f t="shared" si="3"/>
        <v/>
      </c>
      <c r="E118" s="6"/>
      <c r="F118" s="7" t="str">
        <f>IF($B118="","",IF(OR(UPPER(IFERROR(VLOOKUP($B118,'Base de datos'!$A$3:$K$24,11,FALSE),""))="NO",ISNUMBER(SEARCH("no sometida",IFERROR(VLOOKUP($B118,'Base de datos'!$A$3:$K$24,10,FALSE),""))),ISNUMBER(SEARCH("no fiscal",IFERROR(VLOOKUP($B118,'Base de datos'!$A$3:$K$24,10,FALSE),"")))),"",IF(OR(OR(ISNUMBER(SEARCH("Hach",$B118)),ISNUMBER(SEARCH("Ketamina",$B118))),AND(IFERROR(VLOOKUP($B118,'Base de datos'!$A$3:$K$24,9,FALSE),"")&lt;&gt;"",IFERROR(VLOOKUP($B118,'Base de datos'!$A$3:$K$24,9,FALSE),"")&lt;&gt;0)),"",IFERROR($M118*VLOOKUP($B118,'Base de datos'!$A$3:$K$24,8,FALSE)/1000,""))))</f>
        <v/>
      </c>
      <c r="G118" s="7" t="str">
        <f>IF($B118="","",IF(OR(UPPER(IFERROR(VLOOKUP($B118,'Base de datos'!$A$3:$K$24,11,FALSE),""))="NO",ISNUMBER(SEARCH("no sometida",IFERROR(VLOOKUP($B118,'Base de datos'!$A$3:$K$24,10,FALSE),""))),ISNUMBER(SEARCH("no fiscal",IFERROR(VLOOKUP($B118,'Base de datos'!$A$3:$K$24,10,FALSE),"")))),"",IFERROR(IF(OR(ISNUMBER(SEARCH("Hach",$B118)),ISNUMBER(SEARCH("Ketamina",$B118))),IF(VLOOKUP($B118,'Base de datos'!$A$3:$K$24,6,FALSE)="","",$E118*VLOOKUP($B118,'Base de datos'!$A$3:$K$24,6,FALSE)),IF(AND(IFERROR(VLOOKUP($B118,'Base de datos'!$A$3:$K$24,9,FALSE),"")&lt;&gt;"",IFERROR(VLOOKUP($B118,'Base de datos'!$A$3:$K$24,9,FALSE),"")&lt;&gt;0),"",IF(VLOOKUP($B118,'Base de datos'!$A$3:$K$24,6,FALSE)="","",$N118*VLOOKUP($B118,'Base de datos'!$A$3:$K$24,6,FALSE)))),"")))</f>
        <v/>
      </c>
      <c r="H118" s="7" t="str">
        <f>IF($B118="","",IF(OR(UPPER(IFERROR(VLOOKUP($B118,'Base de datos'!$A$3:$K$24,11,FALSE),""))="NO",ISNUMBER(SEARCH("no sometida",IFERROR(VLOOKUP($B118,'Base de datos'!$A$3:$K$24,10,FALSE),""))),ISNUMBER(SEARCH("no fiscal",IFERROR(VLOOKUP($B118,'Base de datos'!$A$3:$K$24,10,FALSE),"")))),"",IF(OR(ISNUMBER(SEARCH("Hach",$B118)),ISNUMBER(SEARCH("Ketamina",$B118))),"",IF(AND(IFERROR(VLOOKUP($B118,'Base de datos'!$A$3:$K$24,9,FALSE),"")&lt;&gt;"",IFERROR(VLOOKUP($B118,'Base de datos'!$A$3:$K$24,9,FALSE),"")&lt;&gt;0),$E118*IFERROR(VLOOKUP($B118,'Base de datos'!$A$3:$K$24,9,FALSE),""),IFERROR($O118*VLOOKUP($B118,'Base de datos'!$A$3:$K$24,4,FALSE),"")))))</f>
        <v/>
      </c>
      <c r="I118" s="5" t="str">
        <f>IFERROR(VLOOKUP($B118,'Base de datos'!$A$3:$K$24,7,FALSE),"")</f>
        <v/>
      </c>
      <c r="J118" s="13" t="str">
        <f>IFERROR(VLOOKUP($B118,'Base de datos'!$A$3:$K$24,10,FALSE),"")</f>
        <v/>
      </c>
      <c r="K118" s="6"/>
      <c r="L118" s="4"/>
      <c r="M118" s="6" t="str">
        <f>IF(OR(OR(UPPER(IFERROR(VLOOKUP($B118,'Base de datos'!$A$3:$K$24,11,FALSE),""))="NO",ISNUMBER(SEARCH("no sometida",IFERROR(VLOOKUP($B118,'Base de datos'!$A$3:$K$24,10,FALSE),""))),ISNUMBER(SEARCH("no fiscal",IFERROR(VLOOKUP($B118,'Base de datos'!$A$3:$K$24,10,FALSE),"")))),OR(ISNUMBER(SEARCH("Hach",$B118)),ISNUMBER(SEARCH("Ketamina",$B118))),AND(IFERROR(VLOOKUP($B118,'Base de datos'!$A$3:$K$24,9,FALSE),"")&lt;&gt;"",IFERROR(VLOOKUP($B118,'Base de datos'!$A$3:$K$24,9,FALSE),"")&lt;&gt;0)),"",IFERROR($E118*$C118/$I118,""))</f>
        <v/>
      </c>
      <c r="N118" s="6" t="str">
        <f>IF(OR(OR(UPPER(IFERROR(VLOOKUP($B118,'Base de datos'!$A$3:$K$24,11,FALSE),""))="NO",ISNUMBER(SEARCH("no sometida",IFERROR(VLOOKUP($B118,'Base de datos'!$A$3:$K$24,10,FALSE),""))),ISNUMBER(SEARCH("no fiscal",IFERROR(VLOOKUP($B118,'Base de datos'!$A$3:$K$24,10,FALSE),"")))),OR(ISNUMBER(SEARCH("Hach",$B118)),ISNUMBER(SEARCH("Ketamina",$B118))),AND(IFERROR(VLOOKUP($B118,'Base de datos'!$A$3:$K$24,9,FALSE),"")&lt;&gt;"",IFERROR(VLOOKUP($B118,'Base de datos'!$A$3:$K$24,9,FALSE),"")&lt;&gt;0)),"",IFERROR($E118*$C118/IFERROR(VLOOKUP($B118,'Base de datos'!$A$3:$K$24,5,FALSE),0),""))</f>
        <v/>
      </c>
      <c r="O118" s="6" t="str">
        <f>IF(OR(OR(UPPER(IFERROR(VLOOKUP($B118,'Base de datos'!$A$3:$K$24,11,FALSE),""))="NO",ISNUMBER(SEARCH("no sometida",IFERROR(VLOOKUP($B118,'Base de datos'!$A$3:$K$24,10,FALSE),""))),ISNUMBER(SEARCH("no fiscal",IFERROR(VLOOKUP($B118,'Base de datos'!$A$3:$K$24,10,FALSE),"")))),OR(ISNUMBER(SEARCH("Hach",$B118)),ISNUMBER(SEARCH("Ketamina",$B118))),AND(IFERROR(VLOOKUP($B118,'Base de datos'!$A$3:$K$24,9,FALSE),"")&lt;&gt;"",IFERROR(VLOOKUP($B118,'Base de datos'!$A$3:$K$24,9,FALSE),"")&lt;&gt;0)),"",IFERROR((($E118*$C118/IFERROR(VLOOKUP($B118,'Base de datos'!$A$3:$K$24,3,FALSE),0))*1000)/IFERROR(VLOOKUP($B118,'Base de datos'!$A$3:$K$24,2,FALSE),0),""))</f>
        <v/>
      </c>
    </row>
    <row r="119" spans="1:15" x14ac:dyDescent="0.25">
      <c r="A119" s="4"/>
      <c r="B119" s="4"/>
      <c r="C119" s="5" t="str">
        <f>IFERROR(VLOOKUP($B119,'Base de datos'!$A$3:$K$24,3,FALSE),"")</f>
        <v/>
      </c>
      <c r="D119" s="4" t="str">
        <f t="shared" si="3"/>
        <v/>
      </c>
      <c r="E119" s="6"/>
      <c r="F119" s="7" t="str">
        <f>IF($B119="","",IF(OR(UPPER(IFERROR(VLOOKUP($B119,'Base de datos'!$A$3:$K$24,11,FALSE),""))="NO",ISNUMBER(SEARCH("no sometida",IFERROR(VLOOKUP($B119,'Base de datos'!$A$3:$K$24,10,FALSE),""))),ISNUMBER(SEARCH("no fiscal",IFERROR(VLOOKUP($B119,'Base de datos'!$A$3:$K$24,10,FALSE),"")))),"",IF(OR(OR(ISNUMBER(SEARCH("Hach",$B119)),ISNUMBER(SEARCH("Ketamina",$B119))),AND(IFERROR(VLOOKUP($B119,'Base de datos'!$A$3:$K$24,9,FALSE),"")&lt;&gt;"",IFERROR(VLOOKUP($B119,'Base de datos'!$A$3:$K$24,9,FALSE),"")&lt;&gt;0)),"",IFERROR($M119*VLOOKUP($B119,'Base de datos'!$A$3:$K$24,8,FALSE)/1000,""))))</f>
        <v/>
      </c>
      <c r="G119" s="7" t="str">
        <f>IF($B119="","",IF(OR(UPPER(IFERROR(VLOOKUP($B119,'Base de datos'!$A$3:$K$24,11,FALSE),""))="NO",ISNUMBER(SEARCH("no sometida",IFERROR(VLOOKUP($B119,'Base de datos'!$A$3:$K$24,10,FALSE),""))),ISNUMBER(SEARCH("no fiscal",IFERROR(VLOOKUP($B119,'Base de datos'!$A$3:$K$24,10,FALSE),"")))),"",IFERROR(IF(OR(ISNUMBER(SEARCH("Hach",$B119)),ISNUMBER(SEARCH("Ketamina",$B119))),IF(VLOOKUP($B119,'Base de datos'!$A$3:$K$24,6,FALSE)="","",$E119*VLOOKUP($B119,'Base de datos'!$A$3:$K$24,6,FALSE)),IF(AND(IFERROR(VLOOKUP($B119,'Base de datos'!$A$3:$K$24,9,FALSE),"")&lt;&gt;"",IFERROR(VLOOKUP($B119,'Base de datos'!$A$3:$K$24,9,FALSE),"")&lt;&gt;0),"",IF(VLOOKUP($B119,'Base de datos'!$A$3:$K$24,6,FALSE)="","",$N119*VLOOKUP($B119,'Base de datos'!$A$3:$K$24,6,FALSE)))),"")))</f>
        <v/>
      </c>
      <c r="H119" s="7" t="str">
        <f>IF($B119="","",IF(OR(UPPER(IFERROR(VLOOKUP($B119,'Base de datos'!$A$3:$K$24,11,FALSE),""))="NO",ISNUMBER(SEARCH("no sometida",IFERROR(VLOOKUP($B119,'Base de datos'!$A$3:$K$24,10,FALSE),""))),ISNUMBER(SEARCH("no fiscal",IFERROR(VLOOKUP($B119,'Base de datos'!$A$3:$K$24,10,FALSE),"")))),"",IF(OR(ISNUMBER(SEARCH("Hach",$B119)),ISNUMBER(SEARCH("Ketamina",$B119))),"",IF(AND(IFERROR(VLOOKUP($B119,'Base de datos'!$A$3:$K$24,9,FALSE),"")&lt;&gt;"",IFERROR(VLOOKUP($B119,'Base de datos'!$A$3:$K$24,9,FALSE),"")&lt;&gt;0),$E119*IFERROR(VLOOKUP($B119,'Base de datos'!$A$3:$K$24,9,FALSE),""),IFERROR($O119*VLOOKUP($B119,'Base de datos'!$A$3:$K$24,4,FALSE),"")))))</f>
        <v/>
      </c>
      <c r="I119" s="5" t="str">
        <f>IFERROR(VLOOKUP($B119,'Base de datos'!$A$3:$K$24,7,FALSE),"")</f>
        <v/>
      </c>
      <c r="J119" s="13" t="str">
        <f>IFERROR(VLOOKUP($B119,'Base de datos'!$A$3:$K$24,10,FALSE),"")</f>
        <v/>
      </c>
      <c r="K119" s="6"/>
      <c r="L119" s="4"/>
      <c r="M119" s="6" t="str">
        <f>IF(OR(OR(UPPER(IFERROR(VLOOKUP($B119,'Base de datos'!$A$3:$K$24,11,FALSE),""))="NO",ISNUMBER(SEARCH("no sometida",IFERROR(VLOOKUP($B119,'Base de datos'!$A$3:$K$24,10,FALSE),""))),ISNUMBER(SEARCH("no fiscal",IFERROR(VLOOKUP($B119,'Base de datos'!$A$3:$K$24,10,FALSE),"")))),OR(ISNUMBER(SEARCH("Hach",$B119)),ISNUMBER(SEARCH("Ketamina",$B119))),AND(IFERROR(VLOOKUP($B119,'Base de datos'!$A$3:$K$24,9,FALSE),"")&lt;&gt;"",IFERROR(VLOOKUP($B119,'Base de datos'!$A$3:$K$24,9,FALSE),"")&lt;&gt;0)),"",IFERROR($E119*$C119/$I119,""))</f>
        <v/>
      </c>
      <c r="N119" s="6" t="str">
        <f>IF(OR(OR(UPPER(IFERROR(VLOOKUP($B119,'Base de datos'!$A$3:$K$24,11,FALSE),""))="NO",ISNUMBER(SEARCH("no sometida",IFERROR(VLOOKUP($B119,'Base de datos'!$A$3:$K$24,10,FALSE),""))),ISNUMBER(SEARCH("no fiscal",IFERROR(VLOOKUP($B119,'Base de datos'!$A$3:$K$24,10,FALSE),"")))),OR(ISNUMBER(SEARCH("Hach",$B119)),ISNUMBER(SEARCH("Ketamina",$B119))),AND(IFERROR(VLOOKUP($B119,'Base de datos'!$A$3:$K$24,9,FALSE),"")&lt;&gt;"",IFERROR(VLOOKUP($B119,'Base de datos'!$A$3:$K$24,9,FALSE),"")&lt;&gt;0)),"",IFERROR($E119*$C119/IFERROR(VLOOKUP($B119,'Base de datos'!$A$3:$K$24,5,FALSE),0),""))</f>
        <v/>
      </c>
      <c r="O119" s="6" t="str">
        <f>IF(OR(OR(UPPER(IFERROR(VLOOKUP($B119,'Base de datos'!$A$3:$K$24,11,FALSE),""))="NO",ISNUMBER(SEARCH("no sometida",IFERROR(VLOOKUP($B119,'Base de datos'!$A$3:$K$24,10,FALSE),""))),ISNUMBER(SEARCH("no fiscal",IFERROR(VLOOKUP($B119,'Base de datos'!$A$3:$K$24,10,FALSE),"")))),OR(ISNUMBER(SEARCH("Hach",$B119)),ISNUMBER(SEARCH("Ketamina",$B119))),AND(IFERROR(VLOOKUP($B119,'Base de datos'!$A$3:$K$24,9,FALSE),"")&lt;&gt;"",IFERROR(VLOOKUP($B119,'Base de datos'!$A$3:$K$24,9,FALSE),"")&lt;&gt;0)),"",IFERROR((($E119*$C119/IFERROR(VLOOKUP($B119,'Base de datos'!$A$3:$K$24,3,FALSE),0))*1000)/IFERROR(VLOOKUP($B119,'Base de datos'!$A$3:$K$24,2,FALSE),0),""))</f>
        <v/>
      </c>
    </row>
    <row r="120" spans="1:15" x14ac:dyDescent="0.25">
      <c r="A120" s="4"/>
      <c r="B120" s="4"/>
      <c r="C120" s="5" t="str">
        <f>IFERROR(VLOOKUP($B120,'Base de datos'!$A$3:$K$24,3,FALSE),"")</f>
        <v/>
      </c>
      <c r="D120" s="4" t="str">
        <f t="shared" si="3"/>
        <v/>
      </c>
      <c r="E120" s="6"/>
      <c r="F120" s="7" t="str">
        <f>IF($B120="","",IF(OR(UPPER(IFERROR(VLOOKUP($B120,'Base de datos'!$A$3:$K$24,11,FALSE),""))="NO",ISNUMBER(SEARCH("no sometida",IFERROR(VLOOKUP($B120,'Base de datos'!$A$3:$K$24,10,FALSE),""))),ISNUMBER(SEARCH("no fiscal",IFERROR(VLOOKUP($B120,'Base de datos'!$A$3:$K$24,10,FALSE),"")))),"",IF(OR(OR(ISNUMBER(SEARCH("Hach",$B120)),ISNUMBER(SEARCH("Ketamina",$B120))),AND(IFERROR(VLOOKUP($B120,'Base de datos'!$A$3:$K$24,9,FALSE),"")&lt;&gt;"",IFERROR(VLOOKUP($B120,'Base de datos'!$A$3:$K$24,9,FALSE),"")&lt;&gt;0)),"",IFERROR($M120*VLOOKUP($B120,'Base de datos'!$A$3:$K$24,8,FALSE)/1000,""))))</f>
        <v/>
      </c>
      <c r="G120" s="7" t="str">
        <f>IF($B120="","",IF(OR(UPPER(IFERROR(VLOOKUP($B120,'Base de datos'!$A$3:$K$24,11,FALSE),""))="NO",ISNUMBER(SEARCH("no sometida",IFERROR(VLOOKUP($B120,'Base de datos'!$A$3:$K$24,10,FALSE),""))),ISNUMBER(SEARCH("no fiscal",IFERROR(VLOOKUP($B120,'Base de datos'!$A$3:$K$24,10,FALSE),"")))),"",IFERROR(IF(OR(ISNUMBER(SEARCH("Hach",$B120)),ISNUMBER(SEARCH("Ketamina",$B120))),IF(VLOOKUP($B120,'Base de datos'!$A$3:$K$24,6,FALSE)="","",$E120*VLOOKUP($B120,'Base de datos'!$A$3:$K$24,6,FALSE)),IF(AND(IFERROR(VLOOKUP($B120,'Base de datos'!$A$3:$K$24,9,FALSE),"")&lt;&gt;"",IFERROR(VLOOKUP($B120,'Base de datos'!$A$3:$K$24,9,FALSE),"")&lt;&gt;0),"",IF(VLOOKUP($B120,'Base de datos'!$A$3:$K$24,6,FALSE)="","",$N120*VLOOKUP($B120,'Base de datos'!$A$3:$K$24,6,FALSE)))),"")))</f>
        <v/>
      </c>
      <c r="H120" s="7" t="str">
        <f>IF($B120="","",IF(OR(UPPER(IFERROR(VLOOKUP($B120,'Base de datos'!$A$3:$K$24,11,FALSE),""))="NO",ISNUMBER(SEARCH("no sometida",IFERROR(VLOOKUP($B120,'Base de datos'!$A$3:$K$24,10,FALSE),""))),ISNUMBER(SEARCH("no fiscal",IFERROR(VLOOKUP($B120,'Base de datos'!$A$3:$K$24,10,FALSE),"")))),"",IF(OR(ISNUMBER(SEARCH("Hach",$B120)),ISNUMBER(SEARCH("Ketamina",$B120))),"",IF(AND(IFERROR(VLOOKUP($B120,'Base de datos'!$A$3:$K$24,9,FALSE),"")&lt;&gt;"",IFERROR(VLOOKUP($B120,'Base de datos'!$A$3:$K$24,9,FALSE),"")&lt;&gt;0),$E120*IFERROR(VLOOKUP($B120,'Base de datos'!$A$3:$K$24,9,FALSE),""),IFERROR($O120*VLOOKUP($B120,'Base de datos'!$A$3:$K$24,4,FALSE),"")))))</f>
        <v/>
      </c>
      <c r="I120" s="5" t="str">
        <f>IFERROR(VLOOKUP($B120,'Base de datos'!$A$3:$K$24,7,FALSE),"")</f>
        <v/>
      </c>
      <c r="J120" s="13" t="str">
        <f>IFERROR(VLOOKUP($B120,'Base de datos'!$A$3:$K$24,10,FALSE),"")</f>
        <v/>
      </c>
      <c r="K120" s="6"/>
      <c r="L120" s="4"/>
      <c r="M120" s="6" t="str">
        <f>IF(OR(OR(UPPER(IFERROR(VLOOKUP($B120,'Base de datos'!$A$3:$K$24,11,FALSE),""))="NO",ISNUMBER(SEARCH("no sometida",IFERROR(VLOOKUP($B120,'Base de datos'!$A$3:$K$24,10,FALSE),""))),ISNUMBER(SEARCH("no fiscal",IFERROR(VLOOKUP($B120,'Base de datos'!$A$3:$K$24,10,FALSE),"")))),OR(ISNUMBER(SEARCH("Hach",$B120)),ISNUMBER(SEARCH("Ketamina",$B120))),AND(IFERROR(VLOOKUP($B120,'Base de datos'!$A$3:$K$24,9,FALSE),"")&lt;&gt;"",IFERROR(VLOOKUP($B120,'Base de datos'!$A$3:$K$24,9,FALSE),"")&lt;&gt;0)),"",IFERROR($E120*$C120/$I120,""))</f>
        <v/>
      </c>
      <c r="N120" s="6" t="str">
        <f>IF(OR(OR(UPPER(IFERROR(VLOOKUP($B120,'Base de datos'!$A$3:$K$24,11,FALSE),""))="NO",ISNUMBER(SEARCH("no sometida",IFERROR(VLOOKUP($B120,'Base de datos'!$A$3:$K$24,10,FALSE),""))),ISNUMBER(SEARCH("no fiscal",IFERROR(VLOOKUP($B120,'Base de datos'!$A$3:$K$24,10,FALSE),"")))),OR(ISNUMBER(SEARCH("Hach",$B120)),ISNUMBER(SEARCH("Ketamina",$B120))),AND(IFERROR(VLOOKUP($B120,'Base de datos'!$A$3:$K$24,9,FALSE),"")&lt;&gt;"",IFERROR(VLOOKUP($B120,'Base de datos'!$A$3:$K$24,9,FALSE),"")&lt;&gt;0)),"",IFERROR($E120*$C120/IFERROR(VLOOKUP($B120,'Base de datos'!$A$3:$K$24,5,FALSE),0),""))</f>
        <v/>
      </c>
      <c r="O120" s="6" t="str">
        <f>IF(OR(OR(UPPER(IFERROR(VLOOKUP($B120,'Base de datos'!$A$3:$K$24,11,FALSE),""))="NO",ISNUMBER(SEARCH("no sometida",IFERROR(VLOOKUP($B120,'Base de datos'!$A$3:$K$24,10,FALSE),""))),ISNUMBER(SEARCH("no fiscal",IFERROR(VLOOKUP($B120,'Base de datos'!$A$3:$K$24,10,FALSE),"")))),OR(ISNUMBER(SEARCH("Hach",$B120)),ISNUMBER(SEARCH("Ketamina",$B120))),AND(IFERROR(VLOOKUP($B120,'Base de datos'!$A$3:$K$24,9,FALSE),"")&lt;&gt;"",IFERROR(VLOOKUP($B120,'Base de datos'!$A$3:$K$24,9,FALSE),"")&lt;&gt;0)),"",IFERROR((($E120*$C120/IFERROR(VLOOKUP($B120,'Base de datos'!$A$3:$K$24,3,FALSE),0))*1000)/IFERROR(VLOOKUP($B120,'Base de datos'!$A$3:$K$24,2,FALSE),0),""))</f>
        <v/>
      </c>
    </row>
    <row r="121" spans="1:15" x14ac:dyDescent="0.25">
      <c r="A121" s="4"/>
      <c r="B121" s="4"/>
      <c r="C121" s="5" t="str">
        <f>IFERROR(VLOOKUP($B121,'Base de datos'!$A$3:$K$24,3,FALSE),"")</f>
        <v/>
      </c>
      <c r="D121" s="4" t="str">
        <f t="shared" si="3"/>
        <v/>
      </c>
      <c r="E121" s="6"/>
      <c r="F121" s="7" t="str">
        <f>IF($B121="","",IF(OR(UPPER(IFERROR(VLOOKUP($B121,'Base de datos'!$A$3:$K$24,11,FALSE),""))="NO",ISNUMBER(SEARCH("no sometida",IFERROR(VLOOKUP($B121,'Base de datos'!$A$3:$K$24,10,FALSE),""))),ISNUMBER(SEARCH("no fiscal",IFERROR(VLOOKUP($B121,'Base de datos'!$A$3:$K$24,10,FALSE),"")))),"",IF(OR(OR(ISNUMBER(SEARCH("Hach",$B121)),ISNUMBER(SEARCH("Ketamina",$B121))),AND(IFERROR(VLOOKUP($B121,'Base de datos'!$A$3:$K$24,9,FALSE),"")&lt;&gt;"",IFERROR(VLOOKUP($B121,'Base de datos'!$A$3:$K$24,9,FALSE),"")&lt;&gt;0)),"",IFERROR($M121*VLOOKUP($B121,'Base de datos'!$A$3:$K$24,8,FALSE)/1000,""))))</f>
        <v/>
      </c>
      <c r="G121" s="7" t="str">
        <f>IF($B121="","",IF(OR(UPPER(IFERROR(VLOOKUP($B121,'Base de datos'!$A$3:$K$24,11,FALSE),""))="NO",ISNUMBER(SEARCH("no sometida",IFERROR(VLOOKUP($B121,'Base de datos'!$A$3:$K$24,10,FALSE),""))),ISNUMBER(SEARCH("no fiscal",IFERROR(VLOOKUP($B121,'Base de datos'!$A$3:$K$24,10,FALSE),"")))),"",IFERROR(IF(OR(ISNUMBER(SEARCH("Hach",$B121)),ISNUMBER(SEARCH("Ketamina",$B121))),IF(VLOOKUP($B121,'Base de datos'!$A$3:$K$24,6,FALSE)="","",$E121*VLOOKUP($B121,'Base de datos'!$A$3:$K$24,6,FALSE)),IF(AND(IFERROR(VLOOKUP($B121,'Base de datos'!$A$3:$K$24,9,FALSE),"")&lt;&gt;"",IFERROR(VLOOKUP($B121,'Base de datos'!$A$3:$K$24,9,FALSE),"")&lt;&gt;0),"",IF(VLOOKUP($B121,'Base de datos'!$A$3:$K$24,6,FALSE)="","",$N121*VLOOKUP($B121,'Base de datos'!$A$3:$K$24,6,FALSE)))),"")))</f>
        <v/>
      </c>
      <c r="H121" s="7" t="str">
        <f>IF($B121="","",IF(OR(UPPER(IFERROR(VLOOKUP($B121,'Base de datos'!$A$3:$K$24,11,FALSE),""))="NO",ISNUMBER(SEARCH("no sometida",IFERROR(VLOOKUP($B121,'Base de datos'!$A$3:$K$24,10,FALSE),""))),ISNUMBER(SEARCH("no fiscal",IFERROR(VLOOKUP($B121,'Base de datos'!$A$3:$K$24,10,FALSE),"")))),"",IF(OR(ISNUMBER(SEARCH("Hach",$B121)),ISNUMBER(SEARCH("Ketamina",$B121))),"",IF(AND(IFERROR(VLOOKUP($B121,'Base de datos'!$A$3:$K$24,9,FALSE),"")&lt;&gt;"",IFERROR(VLOOKUP($B121,'Base de datos'!$A$3:$K$24,9,FALSE),"")&lt;&gt;0),$E121*IFERROR(VLOOKUP($B121,'Base de datos'!$A$3:$K$24,9,FALSE),""),IFERROR($O121*VLOOKUP($B121,'Base de datos'!$A$3:$K$24,4,FALSE),"")))))</f>
        <v/>
      </c>
      <c r="I121" s="5" t="str">
        <f>IFERROR(VLOOKUP($B121,'Base de datos'!$A$3:$K$24,7,FALSE),"")</f>
        <v/>
      </c>
      <c r="J121" s="13" t="str">
        <f>IFERROR(VLOOKUP($B121,'Base de datos'!$A$3:$K$24,10,FALSE),"")</f>
        <v/>
      </c>
      <c r="K121" s="6"/>
      <c r="L121" s="4"/>
      <c r="M121" s="6" t="str">
        <f>IF(OR(OR(UPPER(IFERROR(VLOOKUP($B121,'Base de datos'!$A$3:$K$24,11,FALSE),""))="NO",ISNUMBER(SEARCH("no sometida",IFERROR(VLOOKUP($B121,'Base de datos'!$A$3:$K$24,10,FALSE),""))),ISNUMBER(SEARCH("no fiscal",IFERROR(VLOOKUP($B121,'Base de datos'!$A$3:$K$24,10,FALSE),"")))),OR(ISNUMBER(SEARCH("Hach",$B121)),ISNUMBER(SEARCH("Ketamina",$B121))),AND(IFERROR(VLOOKUP($B121,'Base de datos'!$A$3:$K$24,9,FALSE),"")&lt;&gt;"",IFERROR(VLOOKUP($B121,'Base de datos'!$A$3:$K$24,9,FALSE),"")&lt;&gt;0)),"",IFERROR($E121*$C121/$I121,""))</f>
        <v/>
      </c>
      <c r="N121" s="6" t="str">
        <f>IF(OR(OR(UPPER(IFERROR(VLOOKUP($B121,'Base de datos'!$A$3:$K$24,11,FALSE),""))="NO",ISNUMBER(SEARCH("no sometida",IFERROR(VLOOKUP($B121,'Base de datos'!$A$3:$K$24,10,FALSE),""))),ISNUMBER(SEARCH("no fiscal",IFERROR(VLOOKUP($B121,'Base de datos'!$A$3:$K$24,10,FALSE),"")))),OR(ISNUMBER(SEARCH("Hach",$B121)),ISNUMBER(SEARCH("Ketamina",$B121))),AND(IFERROR(VLOOKUP($B121,'Base de datos'!$A$3:$K$24,9,FALSE),"")&lt;&gt;"",IFERROR(VLOOKUP($B121,'Base de datos'!$A$3:$K$24,9,FALSE),"")&lt;&gt;0)),"",IFERROR($E121*$C121/IFERROR(VLOOKUP($B121,'Base de datos'!$A$3:$K$24,5,FALSE),0),""))</f>
        <v/>
      </c>
      <c r="O121" s="6" t="str">
        <f>IF(OR(OR(UPPER(IFERROR(VLOOKUP($B121,'Base de datos'!$A$3:$K$24,11,FALSE),""))="NO",ISNUMBER(SEARCH("no sometida",IFERROR(VLOOKUP($B121,'Base de datos'!$A$3:$K$24,10,FALSE),""))),ISNUMBER(SEARCH("no fiscal",IFERROR(VLOOKUP($B121,'Base de datos'!$A$3:$K$24,10,FALSE),"")))),OR(ISNUMBER(SEARCH("Hach",$B121)),ISNUMBER(SEARCH("Ketamina",$B121))),AND(IFERROR(VLOOKUP($B121,'Base de datos'!$A$3:$K$24,9,FALSE),"")&lt;&gt;"",IFERROR(VLOOKUP($B121,'Base de datos'!$A$3:$K$24,9,FALSE),"")&lt;&gt;0)),"",IFERROR((($E121*$C121/IFERROR(VLOOKUP($B121,'Base de datos'!$A$3:$K$24,3,FALSE),0))*1000)/IFERROR(VLOOKUP($B121,'Base de datos'!$A$3:$K$24,2,FALSE),0),""))</f>
        <v/>
      </c>
    </row>
    <row r="122" spans="1:15" x14ac:dyDescent="0.25">
      <c r="A122" s="4"/>
      <c r="B122" s="4"/>
      <c r="C122" s="5" t="str">
        <f>IFERROR(VLOOKUP($B122,'Base de datos'!$A$3:$K$24,3,FALSE),"")</f>
        <v/>
      </c>
      <c r="D122" s="4" t="str">
        <f t="shared" si="3"/>
        <v/>
      </c>
      <c r="E122" s="6"/>
      <c r="F122" s="7" t="str">
        <f>IF($B122="","",IF(OR(UPPER(IFERROR(VLOOKUP($B122,'Base de datos'!$A$3:$K$24,11,FALSE),""))="NO",ISNUMBER(SEARCH("no sometida",IFERROR(VLOOKUP($B122,'Base de datos'!$A$3:$K$24,10,FALSE),""))),ISNUMBER(SEARCH("no fiscal",IFERROR(VLOOKUP($B122,'Base de datos'!$A$3:$K$24,10,FALSE),"")))),"",IF(OR(OR(ISNUMBER(SEARCH("Hach",$B122)),ISNUMBER(SEARCH("Ketamina",$B122))),AND(IFERROR(VLOOKUP($B122,'Base de datos'!$A$3:$K$24,9,FALSE),"")&lt;&gt;"",IFERROR(VLOOKUP($B122,'Base de datos'!$A$3:$K$24,9,FALSE),"")&lt;&gt;0)),"",IFERROR($M122*VLOOKUP($B122,'Base de datos'!$A$3:$K$24,8,FALSE)/1000,""))))</f>
        <v/>
      </c>
      <c r="G122" s="7" t="str">
        <f>IF($B122="","",IF(OR(UPPER(IFERROR(VLOOKUP($B122,'Base de datos'!$A$3:$K$24,11,FALSE),""))="NO",ISNUMBER(SEARCH("no sometida",IFERROR(VLOOKUP($B122,'Base de datos'!$A$3:$K$24,10,FALSE),""))),ISNUMBER(SEARCH("no fiscal",IFERROR(VLOOKUP($B122,'Base de datos'!$A$3:$K$24,10,FALSE),"")))),"",IFERROR(IF(OR(ISNUMBER(SEARCH("Hach",$B122)),ISNUMBER(SEARCH("Ketamina",$B122))),IF(VLOOKUP($B122,'Base de datos'!$A$3:$K$24,6,FALSE)="","",$E122*VLOOKUP($B122,'Base de datos'!$A$3:$K$24,6,FALSE)),IF(AND(IFERROR(VLOOKUP($B122,'Base de datos'!$A$3:$K$24,9,FALSE),"")&lt;&gt;"",IFERROR(VLOOKUP($B122,'Base de datos'!$A$3:$K$24,9,FALSE),"")&lt;&gt;0),"",IF(VLOOKUP($B122,'Base de datos'!$A$3:$K$24,6,FALSE)="","",$N122*VLOOKUP($B122,'Base de datos'!$A$3:$K$24,6,FALSE)))),"")))</f>
        <v/>
      </c>
      <c r="H122" s="7" t="str">
        <f>IF($B122="","",IF(OR(UPPER(IFERROR(VLOOKUP($B122,'Base de datos'!$A$3:$K$24,11,FALSE),""))="NO",ISNUMBER(SEARCH("no sometida",IFERROR(VLOOKUP($B122,'Base de datos'!$A$3:$K$24,10,FALSE),""))),ISNUMBER(SEARCH("no fiscal",IFERROR(VLOOKUP($B122,'Base de datos'!$A$3:$K$24,10,FALSE),"")))),"",IF(OR(ISNUMBER(SEARCH("Hach",$B122)),ISNUMBER(SEARCH("Ketamina",$B122))),"",IF(AND(IFERROR(VLOOKUP($B122,'Base de datos'!$A$3:$K$24,9,FALSE),"")&lt;&gt;"",IFERROR(VLOOKUP($B122,'Base de datos'!$A$3:$K$24,9,FALSE),"")&lt;&gt;0),$E122*IFERROR(VLOOKUP($B122,'Base de datos'!$A$3:$K$24,9,FALSE),""),IFERROR($O122*VLOOKUP($B122,'Base de datos'!$A$3:$K$24,4,FALSE),"")))))</f>
        <v/>
      </c>
      <c r="I122" s="5" t="str">
        <f>IFERROR(VLOOKUP($B122,'Base de datos'!$A$3:$K$24,7,FALSE),"")</f>
        <v/>
      </c>
      <c r="J122" s="13" t="str">
        <f>IFERROR(VLOOKUP($B122,'Base de datos'!$A$3:$K$24,10,FALSE),"")</f>
        <v/>
      </c>
      <c r="K122" s="6"/>
      <c r="L122" s="4"/>
      <c r="M122" s="6" t="str">
        <f>IF(OR(OR(UPPER(IFERROR(VLOOKUP($B122,'Base de datos'!$A$3:$K$24,11,FALSE),""))="NO",ISNUMBER(SEARCH("no sometida",IFERROR(VLOOKUP($B122,'Base de datos'!$A$3:$K$24,10,FALSE),""))),ISNUMBER(SEARCH("no fiscal",IFERROR(VLOOKUP($B122,'Base de datos'!$A$3:$K$24,10,FALSE),"")))),OR(ISNUMBER(SEARCH("Hach",$B122)),ISNUMBER(SEARCH("Ketamina",$B122))),AND(IFERROR(VLOOKUP($B122,'Base de datos'!$A$3:$K$24,9,FALSE),"")&lt;&gt;"",IFERROR(VLOOKUP($B122,'Base de datos'!$A$3:$K$24,9,FALSE),"")&lt;&gt;0)),"",IFERROR($E122*$C122/$I122,""))</f>
        <v/>
      </c>
      <c r="N122" s="6" t="str">
        <f>IF(OR(OR(UPPER(IFERROR(VLOOKUP($B122,'Base de datos'!$A$3:$K$24,11,FALSE),""))="NO",ISNUMBER(SEARCH("no sometida",IFERROR(VLOOKUP($B122,'Base de datos'!$A$3:$K$24,10,FALSE),""))),ISNUMBER(SEARCH("no fiscal",IFERROR(VLOOKUP($B122,'Base de datos'!$A$3:$K$24,10,FALSE),"")))),OR(ISNUMBER(SEARCH("Hach",$B122)),ISNUMBER(SEARCH("Ketamina",$B122))),AND(IFERROR(VLOOKUP($B122,'Base de datos'!$A$3:$K$24,9,FALSE),"")&lt;&gt;"",IFERROR(VLOOKUP($B122,'Base de datos'!$A$3:$K$24,9,FALSE),"")&lt;&gt;0)),"",IFERROR($E122*$C122/IFERROR(VLOOKUP($B122,'Base de datos'!$A$3:$K$24,5,FALSE),0),""))</f>
        <v/>
      </c>
      <c r="O122" s="6" t="str">
        <f>IF(OR(OR(UPPER(IFERROR(VLOOKUP($B122,'Base de datos'!$A$3:$K$24,11,FALSE),""))="NO",ISNUMBER(SEARCH("no sometida",IFERROR(VLOOKUP($B122,'Base de datos'!$A$3:$K$24,10,FALSE),""))),ISNUMBER(SEARCH("no fiscal",IFERROR(VLOOKUP($B122,'Base de datos'!$A$3:$K$24,10,FALSE),"")))),OR(ISNUMBER(SEARCH("Hach",$B122)),ISNUMBER(SEARCH("Ketamina",$B122))),AND(IFERROR(VLOOKUP($B122,'Base de datos'!$A$3:$K$24,9,FALSE),"")&lt;&gt;"",IFERROR(VLOOKUP($B122,'Base de datos'!$A$3:$K$24,9,FALSE),"")&lt;&gt;0)),"",IFERROR((($E122*$C122/IFERROR(VLOOKUP($B122,'Base de datos'!$A$3:$K$24,3,FALSE),0))*1000)/IFERROR(VLOOKUP($B122,'Base de datos'!$A$3:$K$24,2,FALSE),0),""))</f>
        <v/>
      </c>
    </row>
    <row r="123" spans="1:15" x14ac:dyDescent="0.25">
      <c r="A123" s="4"/>
      <c r="B123" s="4"/>
      <c r="C123" s="5" t="str">
        <f>IFERROR(VLOOKUP($B123,'Base de datos'!$A$3:$K$24,3,FALSE),"")</f>
        <v/>
      </c>
      <c r="D123" s="4" t="str">
        <f t="shared" si="3"/>
        <v/>
      </c>
      <c r="E123" s="6"/>
      <c r="F123" s="7" t="str">
        <f>IF($B123="","",IF(OR(UPPER(IFERROR(VLOOKUP($B123,'Base de datos'!$A$3:$K$24,11,FALSE),""))="NO",ISNUMBER(SEARCH("no sometida",IFERROR(VLOOKUP($B123,'Base de datos'!$A$3:$K$24,10,FALSE),""))),ISNUMBER(SEARCH("no fiscal",IFERROR(VLOOKUP($B123,'Base de datos'!$A$3:$K$24,10,FALSE),"")))),"",IF(OR(OR(ISNUMBER(SEARCH("Hach",$B123)),ISNUMBER(SEARCH("Ketamina",$B123))),AND(IFERROR(VLOOKUP($B123,'Base de datos'!$A$3:$K$24,9,FALSE),"")&lt;&gt;"",IFERROR(VLOOKUP($B123,'Base de datos'!$A$3:$K$24,9,FALSE),"")&lt;&gt;0)),"",IFERROR($M123*VLOOKUP($B123,'Base de datos'!$A$3:$K$24,8,FALSE)/1000,""))))</f>
        <v/>
      </c>
      <c r="G123" s="7" t="str">
        <f>IF($B123="","",IF(OR(UPPER(IFERROR(VLOOKUP($B123,'Base de datos'!$A$3:$K$24,11,FALSE),""))="NO",ISNUMBER(SEARCH("no sometida",IFERROR(VLOOKUP($B123,'Base de datos'!$A$3:$K$24,10,FALSE),""))),ISNUMBER(SEARCH("no fiscal",IFERROR(VLOOKUP($B123,'Base de datos'!$A$3:$K$24,10,FALSE),"")))),"",IFERROR(IF(OR(ISNUMBER(SEARCH("Hach",$B123)),ISNUMBER(SEARCH("Ketamina",$B123))),IF(VLOOKUP($B123,'Base de datos'!$A$3:$K$24,6,FALSE)="","",$E123*VLOOKUP($B123,'Base de datos'!$A$3:$K$24,6,FALSE)),IF(AND(IFERROR(VLOOKUP($B123,'Base de datos'!$A$3:$K$24,9,FALSE),"")&lt;&gt;"",IFERROR(VLOOKUP($B123,'Base de datos'!$A$3:$K$24,9,FALSE),"")&lt;&gt;0),"",IF(VLOOKUP($B123,'Base de datos'!$A$3:$K$24,6,FALSE)="","",$N123*VLOOKUP($B123,'Base de datos'!$A$3:$K$24,6,FALSE)))),"")))</f>
        <v/>
      </c>
      <c r="H123" s="7" t="str">
        <f>IF($B123="","",IF(OR(UPPER(IFERROR(VLOOKUP($B123,'Base de datos'!$A$3:$K$24,11,FALSE),""))="NO",ISNUMBER(SEARCH("no sometida",IFERROR(VLOOKUP($B123,'Base de datos'!$A$3:$K$24,10,FALSE),""))),ISNUMBER(SEARCH("no fiscal",IFERROR(VLOOKUP($B123,'Base de datos'!$A$3:$K$24,10,FALSE),"")))),"",IF(OR(ISNUMBER(SEARCH("Hach",$B123)),ISNUMBER(SEARCH("Ketamina",$B123))),"",IF(AND(IFERROR(VLOOKUP($B123,'Base de datos'!$A$3:$K$24,9,FALSE),"")&lt;&gt;"",IFERROR(VLOOKUP($B123,'Base de datos'!$A$3:$K$24,9,FALSE),"")&lt;&gt;0),$E123*IFERROR(VLOOKUP($B123,'Base de datos'!$A$3:$K$24,9,FALSE),""),IFERROR($O123*VLOOKUP($B123,'Base de datos'!$A$3:$K$24,4,FALSE),"")))))</f>
        <v/>
      </c>
      <c r="I123" s="5" t="str">
        <f>IFERROR(VLOOKUP($B123,'Base de datos'!$A$3:$K$24,7,FALSE),"")</f>
        <v/>
      </c>
      <c r="J123" s="13" t="str">
        <f>IFERROR(VLOOKUP($B123,'Base de datos'!$A$3:$K$24,10,FALSE),"")</f>
        <v/>
      </c>
      <c r="K123" s="6"/>
      <c r="L123" s="4"/>
      <c r="M123" s="6" t="str">
        <f>IF(OR(OR(UPPER(IFERROR(VLOOKUP($B123,'Base de datos'!$A$3:$K$24,11,FALSE),""))="NO",ISNUMBER(SEARCH("no sometida",IFERROR(VLOOKUP($B123,'Base de datos'!$A$3:$K$24,10,FALSE),""))),ISNUMBER(SEARCH("no fiscal",IFERROR(VLOOKUP($B123,'Base de datos'!$A$3:$K$24,10,FALSE),"")))),OR(ISNUMBER(SEARCH("Hach",$B123)),ISNUMBER(SEARCH("Ketamina",$B123))),AND(IFERROR(VLOOKUP($B123,'Base de datos'!$A$3:$K$24,9,FALSE),"")&lt;&gt;"",IFERROR(VLOOKUP($B123,'Base de datos'!$A$3:$K$24,9,FALSE),"")&lt;&gt;0)),"",IFERROR($E123*$C123/$I123,""))</f>
        <v/>
      </c>
      <c r="N123" s="6" t="str">
        <f>IF(OR(OR(UPPER(IFERROR(VLOOKUP($B123,'Base de datos'!$A$3:$K$24,11,FALSE),""))="NO",ISNUMBER(SEARCH("no sometida",IFERROR(VLOOKUP($B123,'Base de datos'!$A$3:$K$24,10,FALSE),""))),ISNUMBER(SEARCH("no fiscal",IFERROR(VLOOKUP($B123,'Base de datos'!$A$3:$K$24,10,FALSE),"")))),OR(ISNUMBER(SEARCH("Hach",$B123)),ISNUMBER(SEARCH("Ketamina",$B123))),AND(IFERROR(VLOOKUP($B123,'Base de datos'!$A$3:$K$24,9,FALSE),"")&lt;&gt;"",IFERROR(VLOOKUP($B123,'Base de datos'!$A$3:$K$24,9,FALSE),"")&lt;&gt;0)),"",IFERROR($E123*$C123/IFERROR(VLOOKUP($B123,'Base de datos'!$A$3:$K$24,5,FALSE),0),""))</f>
        <v/>
      </c>
      <c r="O123" s="6" t="str">
        <f>IF(OR(OR(UPPER(IFERROR(VLOOKUP($B123,'Base de datos'!$A$3:$K$24,11,FALSE),""))="NO",ISNUMBER(SEARCH("no sometida",IFERROR(VLOOKUP($B123,'Base de datos'!$A$3:$K$24,10,FALSE),""))),ISNUMBER(SEARCH("no fiscal",IFERROR(VLOOKUP($B123,'Base de datos'!$A$3:$K$24,10,FALSE),"")))),OR(ISNUMBER(SEARCH("Hach",$B123)),ISNUMBER(SEARCH("Ketamina",$B123))),AND(IFERROR(VLOOKUP($B123,'Base de datos'!$A$3:$K$24,9,FALSE),"")&lt;&gt;"",IFERROR(VLOOKUP($B123,'Base de datos'!$A$3:$K$24,9,FALSE),"")&lt;&gt;0)),"",IFERROR((($E123*$C123/IFERROR(VLOOKUP($B123,'Base de datos'!$A$3:$K$24,3,FALSE),0))*1000)/IFERROR(VLOOKUP($B123,'Base de datos'!$A$3:$K$24,2,FALSE),0),""))</f>
        <v/>
      </c>
    </row>
    <row r="124" spans="1:15" x14ac:dyDescent="0.25">
      <c r="A124" s="4"/>
      <c r="B124" s="4"/>
      <c r="C124" s="5" t="str">
        <f>IFERROR(VLOOKUP($B124,'Base de datos'!$A$3:$K$24,3,FALSE),"")</f>
        <v/>
      </c>
      <c r="D124" s="4" t="str">
        <f t="shared" si="3"/>
        <v/>
      </c>
      <c r="E124" s="6"/>
      <c r="F124" s="7" t="str">
        <f>IF($B124="","",IF(OR(UPPER(IFERROR(VLOOKUP($B124,'Base de datos'!$A$3:$K$24,11,FALSE),""))="NO",ISNUMBER(SEARCH("no sometida",IFERROR(VLOOKUP($B124,'Base de datos'!$A$3:$K$24,10,FALSE),""))),ISNUMBER(SEARCH("no fiscal",IFERROR(VLOOKUP($B124,'Base de datos'!$A$3:$K$24,10,FALSE),"")))),"",IF(OR(OR(ISNUMBER(SEARCH("Hach",$B124)),ISNUMBER(SEARCH("Ketamina",$B124))),AND(IFERROR(VLOOKUP($B124,'Base de datos'!$A$3:$K$24,9,FALSE),"")&lt;&gt;"",IFERROR(VLOOKUP($B124,'Base de datos'!$A$3:$K$24,9,FALSE),"")&lt;&gt;0)),"",IFERROR($M124*VLOOKUP($B124,'Base de datos'!$A$3:$K$24,8,FALSE)/1000,""))))</f>
        <v/>
      </c>
      <c r="G124" s="7" t="str">
        <f>IF($B124="","",IF(OR(UPPER(IFERROR(VLOOKUP($B124,'Base de datos'!$A$3:$K$24,11,FALSE),""))="NO",ISNUMBER(SEARCH("no sometida",IFERROR(VLOOKUP($B124,'Base de datos'!$A$3:$K$24,10,FALSE),""))),ISNUMBER(SEARCH("no fiscal",IFERROR(VLOOKUP($B124,'Base de datos'!$A$3:$K$24,10,FALSE),"")))),"",IFERROR(IF(OR(ISNUMBER(SEARCH("Hach",$B124)),ISNUMBER(SEARCH("Ketamina",$B124))),IF(VLOOKUP($B124,'Base de datos'!$A$3:$K$24,6,FALSE)="","",$E124*VLOOKUP($B124,'Base de datos'!$A$3:$K$24,6,FALSE)),IF(AND(IFERROR(VLOOKUP($B124,'Base de datos'!$A$3:$K$24,9,FALSE),"")&lt;&gt;"",IFERROR(VLOOKUP($B124,'Base de datos'!$A$3:$K$24,9,FALSE),"")&lt;&gt;0),"",IF(VLOOKUP($B124,'Base de datos'!$A$3:$K$24,6,FALSE)="","",$N124*VLOOKUP($B124,'Base de datos'!$A$3:$K$24,6,FALSE)))),"")))</f>
        <v/>
      </c>
      <c r="H124" s="7" t="str">
        <f>IF($B124="","",IF(OR(UPPER(IFERROR(VLOOKUP($B124,'Base de datos'!$A$3:$K$24,11,FALSE),""))="NO",ISNUMBER(SEARCH("no sometida",IFERROR(VLOOKUP($B124,'Base de datos'!$A$3:$K$24,10,FALSE),""))),ISNUMBER(SEARCH("no fiscal",IFERROR(VLOOKUP($B124,'Base de datos'!$A$3:$K$24,10,FALSE),"")))),"",IF(OR(ISNUMBER(SEARCH("Hach",$B124)),ISNUMBER(SEARCH("Ketamina",$B124))),"",IF(AND(IFERROR(VLOOKUP($B124,'Base de datos'!$A$3:$K$24,9,FALSE),"")&lt;&gt;"",IFERROR(VLOOKUP($B124,'Base de datos'!$A$3:$K$24,9,FALSE),"")&lt;&gt;0),$E124*IFERROR(VLOOKUP($B124,'Base de datos'!$A$3:$K$24,9,FALSE),""),IFERROR($O124*VLOOKUP($B124,'Base de datos'!$A$3:$K$24,4,FALSE),"")))))</f>
        <v/>
      </c>
      <c r="I124" s="5" t="str">
        <f>IFERROR(VLOOKUP($B124,'Base de datos'!$A$3:$K$24,7,FALSE),"")</f>
        <v/>
      </c>
      <c r="J124" s="13" t="str">
        <f>IFERROR(VLOOKUP($B124,'Base de datos'!$A$3:$K$24,10,FALSE),"")</f>
        <v/>
      </c>
      <c r="K124" s="6"/>
      <c r="L124" s="4"/>
      <c r="M124" s="6" t="str">
        <f>IF(OR(OR(UPPER(IFERROR(VLOOKUP($B124,'Base de datos'!$A$3:$K$24,11,FALSE),""))="NO",ISNUMBER(SEARCH("no sometida",IFERROR(VLOOKUP($B124,'Base de datos'!$A$3:$K$24,10,FALSE),""))),ISNUMBER(SEARCH("no fiscal",IFERROR(VLOOKUP($B124,'Base de datos'!$A$3:$K$24,10,FALSE),"")))),OR(ISNUMBER(SEARCH("Hach",$B124)),ISNUMBER(SEARCH("Ketamina",$B124))),AND(IFERROR(VLOOKUP($B124,'Base de datos'!$A$3:$K$24,9,FALSE),"")&lt;&gt;"",IFERROR(VLOOKUP($B124,'Base de datos'!$A$3:$K$24,9,FALSE),"")&lt;&gt;0)),"",IFERROR($E124*$C124/$I124,""))</f>
        <v/>
      </c>
      <c r="N124" s="6" t="str">
        <f>IF(OR(OR(UPPER(IFERROR(VLOOKUP($B124,'Base de datos'!$A$3:$K$24,11,FALSE),""))="NO",ISNUMBER(SEARCH("no sometida",IFERROR(VLOOKUP($B124,'Base de datos'!$A$3:$K$24,10,FALSE),""))),ISNUMBER(SEARCH("no fiscal",IFERROR(VLOOKUP($B124,'Base de datos'!$A$3:$K$24,10,FALSE),"")))),OR(ISNUMBER(SEARCH("Hach",$B124)),ISNUMBER(SEARCH("Ketamina",$B124))),AND(IFERROR(VLOOKUP($B124,'Base de datos'!$A$3:$K$24,9,FALSE),"")&lt;&gt;"",IFERROR(VLOOKUP($B124,'Base de datos'!$A$3:$K$24,9,FALSE),"")&lt;&gt;0)),"",IFERROR($E124*$C124/IFERROR(VLOOKUP($B124,'Base de datos'!$A$3:$K$24,5,FALSE),0),""))</f>
        <v/>
      </c>
      <c r="O124" s="6" t="str">
        <f>IF(OR(OR(UPPER(IFERROR(VLOOKUP($B124,'Base de datos'!$A$3:$K$24,11,FALSE),""))="NO",ISNUMBER(SEARCH("no sometida",IFERROR(VLOOKUP($B124,'Base de datos'!$A$3:$K$24,10,FALSE),""))),ISNUMBER(SEARCH("no fiscal",IFERROR(VLOOKUP($B124,'Base de datos'!$A$3:$K$24,10,FALSE),"")))),OR(ISNUMBER(SEARCH("Hach",$B124)),ISNUMBER(SEARCH("Ketamina",$B124))),AND(IFERROR(VLOOKUP($B124,'Base de datos'!$A$3:$K$24,9,FALSE),"")&lt;&gt;"",IFERROR(VLOOKUP($B124,'Base de datos'!$A$3:$K$24,9,FALSE),"")&lt;&gt;0)),"",IFERROR((($E124*$C124/IFERROR(VLOOKUP($B124,'Base de datos'!$A$3:$K$24,3,FALSE),0))*1000)/IFERROR(VLOOKUP($B124,'Base de datos'!$A$3:$K$24,2,FALSE),0),""))</f>
        <v/>
      </c>
    </row>
    <row r="125" spans="1:15" x14ac:dyDescent="0.25">
      <c r="A125" s="4"/>
      <c r="B125" s="4"/>
      <c r="C125" s="5" t="str">
        <f>IFERROR(VLOOKUP($B125,'Base de datos'!$A$3:$K$24,3,FALSE),"")</f>
        <v/>
      </c>
      <c r="D125" s="4" t="str">
        <f t="shared" si="3"/>
        <v/>
      </c>
      <c r="E125" s="6"/>
      <c r="F125" s="7" t="str">
        <f>IF($B125="","",IF(OR(UPPER(IFERROR(VLOOKUP($B125,'Base de datos'!$A$3:$K$24,11,FALSE),""))="NO",ISNUMBER(SEARCH("no sometida",IFERROR(VLOOKUP($B125,'Base de datos'!$A$3:$K$24,10,FALSE),""))),ISNUMBER(SEARCH("no fiscal",IFERROR(VLOOKUP($B125,'Base de datos'!$A$3:$K$24,10,FALSE),"")))),"",IF(OR(OR(ISNUMBER(SEARCH("Hach",$B125)),ISNUMBER(SEARCH("Ketamina",$B125))),AND(IFERROR(VLOOKUP($B125,'Base de datos'!$A$3:$K$24,9,FALSE),"")&lt;&gt;"",IFERROR(VLOOKUP($B125,'Base de datos'!$A$3:$K$24,9,FALSE),"")&lt;&gt;0)),"",IFERROR($M125*VLOOKUP($B125,'Base de datos'!$A$3:$K$24,8,FALSE)/1000,""))))</f>
        <v/>
      </c>
      <c r="G125" s="7" t="str">
        <f>IF($B125="","",IF(OR(UPPER(IFERROR(VLOOKUP($B125,'Base de datos'!$A$3:$K$24,11,FALSE),""))="NO",ISNUMBER(SEARCH("no sometida",IFERROR(VLOOKUP($B125,'Base de datos'!$A$3:$K$24,10,FALSE),""))),ISNUMBER(SEARCH("no fiscal",IFERROR(VLOOKUP($B125,'Base de datos'!$A$3:$K$24,10,FALSE),"")))),"",IFERROR(IF(OR(ISNUMBER(SEARCH("Hach",$B125)),ISNUMBER(SEARCH("Ketamina",$B125))),IF(VLOOKUP($B125,'Base de datos'!$A$3:$K$24,6,FALSE)="","",$E125*VLOOKUP($B125,'Base de datos'!$A$3:$K$24,6,FALSE)),IF(AND(IFERROR(VLOOKUP($B125,'Base de datos'!$A$3:$K$24,9,FALSE),"")&lt;&gt;"",IFERROR(VLOOKUP($B125,'Base de datos'!$A$3:$K$24,9,FALSE),"")&lt;&gt;0),"",IF(VLOOKUP($B125,'Base de datos'!$A$3:$K$24,6,FALSE)="","",$N125*VLOOKUP($B125,'Base de datos'!$A$3:$K$24,6,FALSE)))),"")))</f>
        <v/>
      </c>
      <c r="H125" s="7" t="str">
        <f>IF($B125="","",IF(OR(UPPER(IFERROR(VLOOKUP($B125,'Base de datos'!$A$3:$K$24,11,FALSE),""))="NO",ISNUMBER(SEARCH("no sometida",IFERROR(VLOOKUP($B125,'Base de datos'!$A$3:$K$24,10,FALSE),""))),ISNUMBER(SEARCH("no fiscal",IFERROR(VLOOKUP($B125,'Base de datos'!$A$3:$K$24,10,FALSE),"")))),"",IF(OR(ISNUMBER(SEARCH("Hach",$B125)),ISNUMBER(SEARCH("Ketamina",$B125))),"",IF(AND(IFERROR(VLOOKUP($B125,'Base de datos'!$A$3:$K$24,9,FALSE),"")&lt;&gt;"",IFERROR(VLOOKUP($B125,'Base de datos'!$A$3:$K$24,9,FALSE),"")&lt;&gt;0),$E125*IFERROR(VLOOKUP($B125,'Base de datos'!$A$3:$K$24,9,FALSE),""),IFERROR($O125*VLOOKUP($B125,'Base de datos'!$A$3:$K$24,4,FALSE),"")))))</f>
        <v/>
      </c>
      <c r="I125" s="5" t="str">
        <f>IFERROR(VLOOKUP($B125,'Base de datos'!$A$3:$K$24,7,FALSE),"")</f>
        <v/>
      </c>
      <c r="J125" s="13" t="str">
        <f>IFERROR(VLOOKUP($B125,'Base de datos'!$A$3:$K$24,10,FALSE),"")</f>
        <v/>
      </c>
      <c r="K125" s="6"/>
      <c r="L125" s="4"/>
      <c r="M125" s="6" t="str">
        <f>IF(OR(OR(UPPER(IFERROR(VLOOKUP($B125,'Base de datos'!$A$3:$K$24,11,FALSE),""))="NO",ISNUMBER(SEARCH("no sometida",IFERROR(VLOOKUP($B125,'Base de datos'!$A$3:$K$24,10,FALSE),""))),ISNUMBER(SEARCH("no fiscal",IFERROR(VLOOKUP($B125,'Base de datos'!$A$3:$K$24,10,FALSE),"")))),OR(ISNUMBER(SEARCH("Hach",$B125)),ISNUMBER(SEARCH("Ketamina",$B125))),AND(IFERROR(VLOOKUP($B125,'Base de datos'!$A$3:$K$24,9,FALSE),"")&lt;&gt;"",IFERROR(VLOOKUP($B125,'Base de datos'!$A$3:$K$24,9,FALSE),"")&lt;&gt;0)),"",IFERROR($E125*$C125/$I125,""))</f>
        <v/>
      </c>
      <c r="N125" s="6" t="str">
        <f>IF(OR(OR(UPPER(IFERROR(VLOOKUP($B125,'Base de datos'!$A$3:$K$24,11,FALSE),""))="NO",ISNUMBER(SEARCH("no sometida",IFERROR(VLOOKUP($B125,'Base de datos'!$A$3:$K$24,10,FALSE),""))),ISNUMBER(SEARCH("no fiscal",IFERROR(VLOOKUP($B125,'Base de datos'!$A$3:$K$24,10,FALSE),"")))),OR(ISNUMBER(SEARCH("Hach",$B125)),ISNUMBER(SEARCH("Ketamina",$B125))),AND(IFERROR(VLOOKUP($B125,'Base de datos'!$A$3:$K$24,9,FALSE),"")&lt;&gt;"",IFERROR(VLOOKUP($B125,'Base de datos'!$A$3:$K$24,9,FALSE),"")&lt;&gt;0)),"",IFERROR($E125*$C125/IFERROR(VLOOKUP($B125,'Base de datos'!$A$3:$K$24,5,FALSE),0),""))</f>
        <v/>
      </c>
      <c r="O125" s="6" t="str">
        <f>IF(OR(OR(UPPER(IFERROR(VLOOKUP($B125,'Base de datos'!$A$3:$K$24,11,FALSE),""))="NO",ISNUMBER(SEARCH("no sometida",IFERROR(VLOOKUP($B125,'Base de datos'!$A$3:$K$24,10,FALSE),""))),ISNUMBER(SEARCH("no fiscal",IFERROR(VLOOKUP($B125,'Base de datos'!$A$3:$K$24,10,FALSE),"")))),OR(ISNUMBER(SEARCH("Hach",$B125)),ISNUMBER(SEARCH("Ketamina",$B125))),AND(IFERROR(VLOOKUP($B125,'Base de datos'!$A$3:$K$24,9,FALSE),"")&lt;&gt;"",IFERROR(VLOOKUP($B125,'Base de datos'!$A$3:$K$24,9,FALSE),"")&lt;&gt;0)),"",IFERROR((($E125*$C125/IFERROR(VLOOKUP($B125,'Base de datos'!$A$3:$K$24,3,FALSE),0))*1000)/IFERROR(VLOOKUP($B125,'Base de datos'!$A$3:$K$24,2,FALSE),0),""))</f>
        <v/>
      </c>
    </row>
    <row r="126" spans="1:15" x14ac:dyDescent="0.25">
      <c r="A126" s="4"/>
      <c r="B126" s="4"/>
      <c r="C126" s="5" t="str">
        <f>IFERROR(VLOOKUP($B126,'Base de datos'!$A$3:$K$24,3,FALSE),"")</f>
        <v/>
      </c>
      <c r="D126" s="4" t="str">
        <f t="shared" si="3"/>
        <v/>
      </c>
      <c r="E126" s="6"/>
      <c r="F126" s="7" t="str">
        <f>IF($B126="","",IF(OR(UPPER(IFERROR(VLOOKUP($B126,'Base de datos'!$A$3:$K$24,11,FALSE),""))="NO",ISNUMBER(SEARCH("no sometida",IFERROR(VLOOKUP($B126,'Base de datos'!$A$3:$K$24,10,FALSE),""))),ISNUMBER(SEARCH("no fiscal",IFERROR(VLOOKUP($B126,'Base de datos'!$A$3:$K$24,10,FALSE),"")))),"",IF(OR(OR(ISNUMBER(SEARCH("Hach",$B126)),ISNUMBER(SEARCH("Ketamina",$B126))),AND(IFERROR(VLOOKUP($B126,'Base de datos'!$A$3:$K$24,9,FALSE),"")&lt;&gt;"",IFERROR(VLOOKUP($B126,'Base de datos'!$A$3:$K$24,9,FALSE),"")&lt;&gt;0)),"",IFERROR($M126*VLOOKUP($B126,'Base de datos'!$A$3:$K$24,8,FALSE)/1000,""))))</f>
        <v/>
      </c>
      <c r="G126" s="7" t="str">
        <f>IF($B126="","",IF(OR(UPPER(IFERROR(VLOOKUP($B126,'Base de datos'!$A$3:$K$24,11,FALSE),""))="NO",ISNUMBER(SEARCH("no sometida",IFERROR(VLOOKUP($B126,'Base de datos'!$A$3:$K$24,10,FALSE),""))),ISNUMBER(SEARCH("no fiscal",IFERROR(VLOOKUP($B126,'Base de datos'!$A$3:$K$24,10,FALSE),"")))),"",IFERROR(IF(OR(ISNUMBER(SEARCH("Hach",$B126)),ISNUMBER(SEARCH("Ketamina",$B126))),IF(VLOOKUP($B126,'Base de datos'!$A$3:$K$24,6,FALSE)="","",$E126*VLOOKUP($B126,'Base de datos'!$A$3:$K$24,6,FALSE)),IF(AND(IFERROR(VLOOKUP($B126,'Base de datos'!$A$3:$K$24,9,FALSE),"")&lt;&gt;"",IFERROR(VLOOKUP($B126,'Base de datos'!$A$3:$K$24,9,FALSE),"")&lt;&gt;0),"",IF(VLOOKUP($B126,'Base de datos'!$A$3:$K$24,6,FALSE)="","",$N126*VLOOKUP($B126,'Base de datos'!$A$3:$K$24,6,FALSE)))),"")))</f>
        <v/>
      </c>
      <c r="H126" s="7" t="str">
        <f>IF($B126="","",IF(OR(UPPER(IFERROR(VLOOKUP($B126,'Base de datos'!$A$3:$K$24,11,FALSE),""))="NO",ISNUMBER(SEARCH("no sometida",IFERROR(VLOOKUP($B126,'Base de datos'!$A$3:$K$24,10,FALSE),""))),ISNUMBER(SEARCH("no fiscal",IFERROR(VLOOKUP($B126,'Base de datos'!$A$3:$K$24,10,FALSE),"")))),"",IF(OR(ISNUMBER(SEARCH("Hach",$B126)),ISNUMBER(SEARCH("Ketamina",$B126))),"",IF(AND(IFERROR(VLOOKUP($B126,'Base de datos'!$A$3:$K$24,9,FALSE),"")&lt;&gt;"",IFERROR(VLOOKUP($B126,'Base de datos'!$A$3:$K$24,9,FALSE),"")&lt;&gt;0),$E126*IFERROR(VLOOKUP($B126,'Base de datos'!$A$3:$K$24,9,FALSE),""),IFERROR($O126*VLOOKUP($B126,'Base de datos'!$A$3:$K$24,4,FALSE),"")))))</f>
        <v/>
      </c>
      <c r="I126" s="5" t="str">
        <f>IFERROR(VLOOKUP($B126,'Base de datos'!$A$3:$K$24,7,FALSE),"")</f>
        <v/>
      </c>
      <c r="J126" s="13" t="str">
        <f>IFERROR(VLOOKUP($B126,'Base de datos'!$A$3:$K$24,10,FALSE),"")</f>
        <v/>
      </c>
      <c r="K126" s="6"/>
      <c r="L126" s="4"/>
      <c r="M126" s="6" t="str">
        <f>IF(OR(OR(UPPER(IFERROR(VLOOKUP($B126,'Base de datos'!$A$3:$K$24,11,FALSE),""))="NO",ISNUMBER(SEARCH("no sometida",IFERROR(VLOOKUP($B126,'Base de datos'!$A$3:$K$24,10,FALSE),""))),ISNUMBER(SEARCH("no fiscal",IFERROR(VLOOKUP($B126,'Base de datos'!$A$3:$K$24,10,FALSE),"")))),OR(ISNUMBER(SEARCH("Hach",$B126)),ISNUMBER(SEARCH("Ketamina",$B126))),AND(IFERROR(VLOOKUP($B126,'Base de datos'!$A$3:$K$24,9,FALSE),"")&lt;&gt;"",IFERROR(VLOOKUP($B126,'Base de datos'!$A$3:$K$24,9,FALSE),"")&lt;&gt;0)),"",IFERROR($E126*$C126/$I126,""))</f>
        <v/>
      </c>
      <c r="N126" s="6" t="str">
        <f>IF(OR(OR(UPPER(IFERROR(VLOOKUP($B126,'Base de datos'!$A$3:$K$24,11,FALSE),""))="NO",ISNUMBER(SEARCH("no sometida",IFERROR(VLOOKUP($B126,'Base de datos'!$A$3:$K$24,10,FALSE),""))),ISNUMBER(SEARCH("no fiscal",IFERROR(VLOOKUP($B126,'Base de datos'!$A$3:$K$24,10,FALSE),"")))),OR(ISNUMBER(SEARCH("Hach",$B126)),ISNUMBER(SEARCH("Ketamina",$B126))),AND(IFERROR(VLOOKUP($B126,'Base de datos'!$A$3:$K$24,9,FALSE),"")&lt;&gt;"",IFERROR(VLOOKUP($B126,'Base de datos'!$A$3:$K$24,9,FALSE),"")&lt;&gt;0)),"",IFERROR($E126*$C126/IFERROR(VLOOKUP($B126,'Base de datos'!$A$3:$K$24,5,FALSE),0),""))</f>
        <v/>
      </c>
      <c r="O126" s="6" t="str">
        <f>IF(OR(OR(UPPER(IFERROR(VLOOKUP($B126,'Base de datos'!$A$3:$K$24,11,FALSE),""))="NO",ISNUMBER(SEARCH("no sometida",IFERROR(VLOOKUP($B126,'Base de datos'!$A$3:$K$24,10,FALSE),""))),ISNUMBER(SEARCH("no fiscal",IFERROR(VLOOKUP($B126,'Base de datos'!$A$3:$K$24,10,FALSE),"")))),OR(ISNUMBER(SEARCH("Hach",$B126)),ISNUMBER(SEARCH("Ketamina",$B126))),AND(IFERROR(VLOOKUP($B126,'Base de datos'!$A$3:$K$24,9,FALSE),"")&lt;&gt;"",IFERROR(VLOOKUP($B126,'Base de datos'!$A$3:$K$24,9,FALSE),"")&lt;&gt;0)),"",IFERROR((($E126*$C126/IFERROR(VLOOKUP($B126,'Base de datos'!$A$3:$K$24,3,FALSE),0))*1000)/IFERROR(VLOOKUP($B126,'Base de datos'!$A$3:$K$24,2,FALSE),0),""))</f>
        <v/>
      </c>
    </row>
    <row r="127" spans="1:15" x14ac:dyDescent="0.25">
      <c r="A127" s="4"/>
      <c r="B127" s="4"/>
      <c r="C127" s="5" t="str">
        <f>IFERROR(VLOOKUP($B127,'Base de datos'!$A$3:$K$24,3,FALSE),"")</f>
        <v/>
      </c>
      <c r="D127" s="4" t="str">
        <f t="shared" si="3"/>
        <v/>
      </c>
      <c r="E127" s="6"/>
      <c r="F127" s="7" t="str">
        <f>IF($B127="","",IF(OR(UPPER(IFERROR(VLOOKUP($B127,'Base de datos'!$A$3:$K$24,11,FALSE),""))="NO",ISNUMBER(SEARCH("no sometida",IFERROR(VLOOKUP($B127,'Base de datos'!$A$3:$K$24,10,FALSE),""))),ISNUMBER(SEARCH("no fiscal",IFERROR(VLOOKUP($B127,'Base de datos'!$A$3:$K$24,10,FALSE),"")))),"",IF(OR(OR(ISNUMBER(SEARCH("Hach",$B127)),ISNUMBER(SEARCH("Ketamina",$B127))),AND(IFERROR(VLOOKUP($B127,'Base de datos'!$A$3:$K$24,9,FALSE),"")&lt;&gt;"",IFERROR(VLOOKUP($B127,'Base de datos'!$A$3:$K$24,9,FALSE),"")&lt;&gt;0)),"",IFERROR($M127*VLOOKUP($B127,'Base de datos'!$A$3:$K$24,8,FALSE)/1000,""))))</f>
        <v/>
      </c>
      <c r="G127" s="7" t="str">
        <f>IF($B127="","",IF(OR(UPPER(IFERROR(VLOOKUP($B127,'Base de datos'!$A$3:$K$24,11,FALSE),""))="NO",ISNUMBER(SEARCH("no sometida",IFERROR(VLOOKUP($B127,'Base de datos'!$A$3:$K$24,10,FALSE),""))),ISNUMBER(SEARCH("no fiscal",IFERROR(VLOOKUP($B127,'Base de datos'!$A$3:$K$24,10,FALSE),"")))),"",IFERROR(IF(OR(ISNUMBER(SEARCH("Hach",$B127)),ISNUMBER(SEARCH("Ketamina",$B127))),IF(VLOOKUP($B127,'Base de datos'!$A$3:$K$24,6,FALSE)="","",$E127*VLOOKUP($B127,'Base de datos'!$A$3:$K$24,6,FALSE)),IF(AND(IFERROR(VLOOKUP($B127,'Base de datos'!$A$3:$K$24,9,FALSE),"")&lt;&gt;"",IFERROR(VLOOKUP($B127,'Base de datos'!$A$3:$K$24,9,FALSE),"")&lt;&gt;0),"",IF(VLOOKUP($B127,'Base de datos'!$A$3:$K$24,6,FALSE)="","",$N127*VLOOKUP($B127,'Base de datos'!$A$3:$K$24,6,FALSE)))),"")))</f>
        <v/>
      </c>
      <c r="H127" s="7" t="str">
        <f>IF($B127="","",IF(OR(UPPER(IFERROR(VLOOKUP($B127,'Base de datos'!$A$3:$K$24,11,FALSE),""))="NO",ISNUMBER(SEARCH("no sometida",IFERROR(VLOOKUP($B127,'Base de datos'!$A$3:$K$24,10,FALSE),""))),ISNUMBER(SEARCH("no fiscal",IFERROR(VLOOKUP($B127,'Base de datos'!$A$3:$K$24,10,FALSE),"")))),"",IF(OR(ISNUMBER(SEARCH("Hach",$B127)),ISNUMBER(SEARCH("Ketamina",$B127))),"",IF(AND(IFERROR(VLOOKUP($B127,'Base de datos'!$A$3:$K$24,9,FALSE),"")&lt;&gt;"",IFERROR(VLOOKUP($B127,'Base de datos'!$A$3:$K$24,9,FALSE),"")&lt;&gt;0),$E127*IFERROR(VLOOKUP($B127,'Base de datos'!$A$3:$K$24,9,FALSE),""),IFERROR($O127*VLOOKUP($B127,'Base de datos'!$A$3:$K$24,4,FALSE),"")))))</f>
        <v/>
      </c>
      <c r="I127" s="5" t="str">
        <f>IFERROR(VLOOKUP($B127,'Base de datos'!$A$3:$K$24,7,FALSE),"")</f>
        <v/>
      </c>
      <c r="J127" s="13" t="str">
        <f>IFERROR(VLOOKUP($B127,'Base de datos'!$A$3:$K$24,10,FALSE),"")</f>
        <v/>
      </c>
      <c r="K127" s="6"/>
      <c r="L127" s="4"/>
      <c r="M127" s="6" t="str">
        <f>IF(OR(OR(UPPER(IFERROR(VLOOKUP($B127,'Base de datos'!$A$3:$K$24,11,FALSE),""))="NO",ISNUMBER(SEARCH("no sometida",IFERROR(VLOOKUP($B127,'Base de datos'!$A$3:$K$24,10,FALSE),""))),ISNUMBER(SEARCH("no fiscal",IFERROR(VLOOKUP($B127,'Base de datos'!$A$3:$K$24,10,FALSE),"")))),OR(ISNUMBER(SEARCH("Hach",$B127)),ISNUMBER(SEARCH("Ketamina",$B127))),AND(IFERROR(VLOOKUP($B127,'Base de datos'!$A$3:$K$24,9,FALSE),"")&lt;&gt;"",IFERROR(VLOOKUP($B127,'Base de datos'!$A$3:$K$24,9,FALSE),"")&lt;&gt;0)),"",IFERROR($E127*$C127/$I127,""))</f>
        <v/>
      </c>
      <c r="N127" s="6" t="str">
        <f>IF(OR(OR(UPPER(IFERROR(VLOOKUP($B127,'Base de datos'!$A$3:$K$24,11,FALSE),""))="NO",ISNUMBER(SEARCH("no sometida",IFERROR(VLOOKUP($B127,'Base de datos'!$A$3:$K$24,10,FALSE),""))),ISNUMBER(SEARCH("no fiscal",IFERROR(VLOOKUP($B127,'Base de datos'!$A$3:$K$24,10,FALSE),"")))),OR(ISNUMBER(SEARCH("Hach",$B127)),ISNUMBER(SEARCH("Ketamina",$B127))),AND(IFERROR(VLOOKUP($B127,'Base de datos'!$A$3:$K$24,9,FALSE),"")&lt;&gt;"",IFERROR(VLOOKUP($B127,'Base de datos'!$A$3:$K$24,9,FALSE),"")&lt;&gt;0)),"",IFERROR($E127*$C127/IFERROR(VLOOKUP($B127,'Base de datos'!$A$3:$K$24,5,FALSE),0),""))</f>
        <v/>
      </c>
      <c r="O127" s="6" t="str">
        <f>IF(OR(OR(UPPER(IFERROR(VLOOKUP($B127,'Base de datos'!$A$3:$K$24,11,FALSE),""))="NO",ISNUMBER(SEARCH("no sometida",IFERROR(VLOOKUP($B127,'Base de datos'!$A$3:$K$24,10,FALSE),""))),ISNUMBER(SEARCH("no fiscal",IFERROR(VLOOKUP($B127,'Base de datos'!$A$3:$K$24,10,FALSE),"")))),OR(ISNUMBER(SEARCH("Hach",$B127)),ISNUMBER(SEARCH("Ketamina",$B127))),AND(IFERROR(VLOOKUP($B127,'Base de datos'!$A$3:$K$24,9,FALSE),"")&lt;&gt;"",IFERROR(VLOOKUP($B127,'Base de datos'!$A$3:$K$24,9,FALSE),"")&lt;&gt;0)),"",IFERROR((($E127*$C127/IFERROR(VLOOKUP($B127,'Base de datos'!$A$3:$K$24,3,FALSE),0))*1000)/IFERROR(VLOOKUP($B127,'Base de datos'!$A$3:$K$24,2,FALSE),0),""))</f>
        <v/>
      </c>
    </row>
    <row r="128" spans="1:15" x14ac:dyDescent="0.25">
      <c r="A128" s="4"/>
      <c r="B128" s="4"/>
      <c r="C128" s="5" t="str">
        <f>IFERROR(VLOOKUP($B128,'Base de datos'!$A$3:$K$24,3,FALSE),"")</f>
        <v/>
      </c>
      <c r="D128" s="4" t="str">
        <f t="shared" si="3"/>
        <v/>
      </c>
      <c r="E128" s="6"/>
      <c r="F128" s="7" t="str">
        <f>IF($B128="","",IF(OR(UPPER(IFERROR(VLOOKUP($B128,'Base de datos'!$A$3:$K$24,11,FALSE),""))="NO",ISNUMBER(SEARCH("no sometida",IFERROR(VLOOKUP($B128,'Base de datos'!$A$3:$K$24,10,FALSE),""))),ISNUMBER(SEARCH("no fiscal",IFERROR(VLOOKUP($B128,'Base de datos'!$A$3:$K$24,10,FALSE),"")))),"",IF(OR(OR(ISNUMBER(SEARCH("Hach",$B128)),ISNUMBER(SEARCH("Ketamina",$B128))),AND(IFERROR(VLOOKUP($B128,'Base de datos'!$A$3:$K$24,9,FALSE),"")&lt;&gt;"",IFERROR(VLOOKUP($B128,'Base de datos'!$A$3:$K$24,9,FALSE),"")&lt;&gt;0)),"",IFERROR($M128*VLOOKUP($B128,'Base de datos'!$A$3:$K$24,8,FALSE)/1000,""))))</f>
        <v/>
      </c>
      <c r="G128" s="7" t="str">
        <f>IF($B128="","",IF(OR(UPPER(IFERROR(VLOOKUP($B128,'Base de datos'!$A$3:$K$24,11,FALSE),""))="NO",ISNUMBER(SEARCH("no sometida",IFERROR(VLOOKUP($B128,'Base de datos'!$A$3:$K$24,10,FALSE),""))),ISNUMBER(SEARCH("no fiscal",IFERROR(VLOOKUP($B128,'Base de datos'!$A$3:$K$24,10,FALSE),"")))),"",IFERROR(IF(OR(ISNUMBER(SEARCH("Hach",$B128)),ISNUMBER(SEARCH("Ketamina",$B128))),IF(VLOOKUP($B128,'Base de datos'!$A$3:$K$24,6,FALSE)="","",$E128*VLOOKUP($B128,'Base de datos'!$A$3:$K$24,6,FALSE)),IF(AND(IFERROR(VLOOKUP($B128,'Base de datos'!$A$3:$K$24,9,FALSE),"")&lt;&gt;"",IFERROR(VLOOKUP($B128,'Base de datos'!$A$3:$K$24,9,FALSE),"")&lt;&gt;0),"",IF(VLOOKUP($B128,'Base de datos'!$A$3:$K$24,6,FALSE)="","",$N128*VLOOKUP($B128,'Base de datos'!$A$3:$K$24,6,FALSE)))),"")))</f>
        <v/>
      </c>
      <c r="H128" s="7" t="str">
        <f>IF($B128="","",IF(OR(UPPER(IFERROR(VLOOKUP($B128,'Base de datos'!$A$3:$K$24,11,FALSE),""))="NO",ISNUMBER(SEARCH("no sometida",IFERROR(VLOOKUP($B128,'Base de datos'!$A$3:$K$24,10,FALSE),""))),ISNUMBER(SEARCH("no fiscal",IFERROR(VLOOKUP($B128,'Base de datos'!$A$3:$K$24,10,FALSE),"")))),"",IF(OR(ISNUMBER(SEARCH("Hach",$B128)),ISNUMBER(SEARCH("Ketamina",$B128))),"",IF(AND(IFERROR(VLOOKUP($B128,'Base de datos'!$A$3:$K$24,9,FALSE),"")&lt;&gt;"",IFERROR(VLOOKUP($B128,'Base de datos'!$A$3:$K$24,9,FALSE),"")&lt;&gt;0),$E128*IFERROR(VLOOKUP($B128,'Base de datos'!$A$3:$K$24,9,FALSE),""),IFERROR($O128*VLOOKUP($B128,'Base de datos'!$A$3:$K$24,4,FALSE),"")))))</f>
        <v/>
      </c>
      <c r="I128" s="5" t="str">
        <f>IFERROR(VLOOKUP($B128,'Base de datos'!$A$3:$K$24,7,FALSE),"")</f>
        <v/>
      </c>
      <c r="J128" s="13" t="str">
        <f>IFERROR(VLOOKUP($B128,'Base de datos'!$A$3:$K$24,10,FALSE),"")</f>
        <v/>
      </c>
      <c r="K128" s="6"/>
      <c r="L128" s="4"/>
      <c r="M128" s="6" t="str">
        <f>IF(OR(OR(UPPER(IFERROR(VLOOKUP($B128,'Base de datos'!$A$3:$K$24,11,FALSE),""))="NO",ISNUMBER(SEARCH("no sometida",IFERROR(VLOOKUP($B128,'Base de datos'!$A$3:$K$24,10,FALSE),""))),ISNUMBER(SEARCH("no fiscal",IFERROR(VLOOKUP($B128,'Base de datos'!$A$3:$K$24,10,FALSE),"")))),OR(ISNUMBER(SEARCH("Hach",$B128)),ISNUMBER(SEARCH("Ketamina",$B128))),AND(IFERROR(VLOOKUP($B128,'Base de datos'!$A$3:$K$24,9,FALSE),"")&lt;&gt;"",IFERROR(VLOOKUP($B128,'Base de datos'!$A$3:$K$24,9,FALSE),"")&lt;&gt;0)),"",IFERROR($E128*$C128/$I128,""))</f>
        <v/>
      </c>
      <c r="N128" s="6" t="str">
        <f>IF(OR(OR(UPPER(IFERROR(VLOOKUP($B128,'Base de datos'!$A$3:$K$24,11,FALSE),""))="NO",ISNUMBER(SEARCH("no sometida",IFERROR(VLOOKUP($B128,'Base de datos'!$A$3:$K$24,10,FALSE),""))),ISNUMBER(SEARCH("no fiscal",IFERROR(VLOOKUP($B128,'Base de datos'!$A$3:$K$24,10,FALSE),"")))),OR(ISNUMBER(SEARCH("Hach",$B128)),ISNUMBER(SEARCH("Ketamina",$B128))),AND(IFERROR(VLOOKUP($B128,'Base de datos'!$A$3:$K$24,9,FALSE),"")&lt;&gt;"",IFERROR(VLOOKUP($B128,'Base de datos'!$A$3:$K$24,9,FALSE),"")&lt;&gt;0)),"",IFERROR($E128*$C128/IFERROR(VLOOKUP($B128,'Base de datos'!$A$3:$K$24,5,FALSE),0),""))</f>
        <v/>
      </c>
      <c r="O128" s="6" t="str">
        <f>IF(OR(OR(UPPER(IFERROR(VLOOKUP($B128,'Base de datos'!$A$3:$K$24,11,FALSE),""))="NO",ISNUMBER(SEARCH("no sometida",IFERROR(VLOOKUP($B128,'Base de datos'!$A$3:$K$24,10,FALSE),""))),ISNUMBER(SEARCH("no fiscal",IFERROR(VLOOKUP($B128,'Base de datos'!$A$3:$K$24,10,FALSE),"")))),OR(ISNUMBER(SEARCH("Hach",$B128)),ISNUMBER(SEARCH("Ketamina",$B128))),AND(IFERROR(VLOOKUP($B128,'Base de datos'!$A$3:$K$24,9,FALSE),"")&lt;&gt;"",IFERROR(VLOOKUP($B128,'Base de datos'!$A$3:$K$24,9,FALSE),"")&lt;&gt;0)),"",IFERROR((($E128*$C128/IFERROR(VLOOKUP($B128,'Base de datos'!$A$3:$K$24,3,FALSE),0))*1000)/IFERROR(VLOOKUP($B128,'Base de datos'!$A$3:$K$24,2,FALSE),0),""))</f>
        <v/>
      </c>
    </row>
    <row r="129" spans="1:15" x14ac:dyDescent="0.25">
      <c r="A129" s="4"/>
      <c r="B129" s="4"/>
      <c r="C129" s="5" t="str">
        <f>IFERROR(VLOOKUP($B129,'Base de datos'!$A$3:$K$24,3,FALSE),"")</f>
        <v/>
      </c>
      <c r="D129" s="4" t="str">
        <f t="shared" si="3"/>
        <v/>
      </c>
      <c r="E129" s="6"/>
      <c r="F129" s="7" t="str">
        <f>IF($B129="","",IF(OR(UPPER(IFERROR(VLOOKUP($B129,'Base de datos'!$A$3:$K$24,11,FALSE),""))="NO",ISNUMBER(SEARCH("no sometida",IFERROR(VLOOKUP($B129,'Base de datos'!$A$3:$K$24,10,FALSE),""))),ISNUMBER(SEARCH("no fiscal",IFERROR(VLOOKUP($B129,'Base de datos'!$A$3:$K$24,10,FALSE),"")))),"",IF(OR(OR(ISNUMBER(SEARCH("Hach",$B129)),ISNUMBER(SEARCH("Ketamina",$B129))),AND(IFERROR(VLOOKUP($B129,'Base de datos'!$A$3:$K$24,9,FALSE),"")&lt;&gt;"",IFERROR(VLOOKUP($B129,'Base de datos'!$A$3:$K$24,9,FALSE),"")&lt;&gt;0)),"",IFERROR($M129*VLOOKUP($B129,'Base de datos'!$A$3:$K$24,8,FALSE)/1000,""))))</f>
        <v/>
      </c>
      <c r="G129" s="7" t="str">
        <f>IF($B129="","",IF(OR(UPPER(IFERROR(VLOOKUP($B129,'Base de datos'!$A$3:$K$24,11,FALSE),""))="NO",ISNUMBER(SEARCH("no sometida",IFERROR(VLOOKUP($B129,'Base de datos'!$A$3:$K$24,10,FALSE),""))),ISNUMBER(SEARCH("no fiscal",IFERROR(VLOOKUP($B129,'Base de datos'!$A$3:$K$24,10,FALSE),"")))),"",IFERROR(IF(OR(ISNUMBER(SEARCH("Hach",$B129)),ISNUMBER(SEARCH("Ketamina",$B129))),IF(VLOOKUP($B129,'Base de datos'!$A$3:$K$24,6,FALSE)="","",$E129*VLOOKUP($B129,'Base de datos'!$A$3:$K$24,6,FALSE)),IF(AND(IFERROR(VLOOKUP($B129,'Base de datos'!$A$3:$K$24,9,FALSE),"")&lt;&gt;"",IFERROR(VLOOKUP($B129,'Base de datos'!$A$3:$K$24,9,FALSE),"")&lt;&gt;0),"",IF(VLOOKUP($B129,'Base de datos'!$A$3:$K$24,6,FALSE)="","",$N129*VLOOKUP($B129,'Base de datos'!$A$3:$K$24,6,FALSE)))),"")))</f>
        <v/>
      </c>
      <c r="H129" s="7" t="str">
        <f>IF($B129="","",IF(OR(UPPER(IFERROR(VLOOKUP($B129,'Base de datos'!$A$3:$K$24,11,FALSE),""))="NO",ISNUMBER(SEARCH("no sometida",IFERROR(VLOOKUP($B129,'Base de datos'!$A$3:$K$24,10,FALSE),""))),ISNUMBER(SEARCH("no fiscal",IFERROR(VLOOKUP($B129,'Base de datos'!$A$3:$K$24,10,FALSE),"")))),"",IF(OR(ISNUMBER(SEARCH("Hach",$B129)),ISNUMBER(SEARCH("Ketamina",$B129))),"",IF(AND(IFERROR(VLOOKUP($B129,'Base de datos'!$A$3:$K$24,9,FALSE),"")&lt;&gt;"",IFERROR(VLOOKUP($B129,'Base de datos'!$A$3:$K$24,9,FALSE),"")&lt;&gt;0),$E129*IFERROR(VLOOKUP($B129,'Base de datos'!$A$3:$K$24,9,FALSE),""),IFERROR($O129*VLOOKUP($B129,'Base de datos'!$A$3:$K$24,4,FALSE),"")))))</f>
        <v/>
      </c>
      <c r="I129" s="5" t="str">
        <f>IFERROR(VLOOKUP($B129,'Base de datos'!$A$3:$K$24,7,FALSE),"")</f>
        <v/>
      </c>
      <c r="J129" s="13" t="str">
        <f>IFERROR(VLOOKUP($B129,'Base de datos'!$A$3:$K$24,10,FALSE),"")</f>
        <v/>
      </c>
      <c r="K129" s="6"/>
      <c r="L129" s="4"/>
      <c r="M129" s="6" t="str">
        <f>IF(OR(OR(UPPER(IFERROR(VLOOKUP($B129,'Base de datos'!$A$3:$K$24,11,FALSE),""))="NO",ISNUMBER(SEARCH("no sometida",IFERROR(VLOOKUP($B129,'Base de datos'!$A$3:$K$24,10,FALSE),""))),ISNUMBER(SEARCH("no fiscal",IFERROR(VLOOKUP($B129,'Base de datos'!$A$3:$K$24,10,FALSE),"")))),OR(ISNUMBER(SEARCH("Hach",$B129)),ISNUMBER(SEARCH("Ketamina",$B129))),AND(IFERROR(VLOOKUP($B129,'Base de datos'!$A$3:$K$24,9,FALSE),"")&lt;&gt;"",IFERROR(VLOOKUP($B129,'Base de datos'!$A$3:$K$24,9,FALSE),"")&lt;&gt;0)),"",IFERROR($E129*$C129/$I129,""))</f>
        <v/>
      </c>
      <c r="N129" s="6" t="str">
        <f>IF(OR(OR(UPPER(IFERROR(VLOOKUP($B129,'Base de datos'!$A$3:$K$24,11,FALSE),""))="NO",ISNUMBER(SEARCH("no sometida",IFERROR(VLOOKUP($B129,'Base de datos'!$A$3:$K$24,10,FALSE),""))),ISNUMBER(SEARCH("no fiscal",IFERROR(VLOOKUP($B129,'Base de datos'!$A$3:$K$24,10,FALSE),"")))),OR(ISNUMBER(SEARCH("Hach",$B129)),ISNUMBER(SEARCH("Ketamina",$B129))),AND(IFERROR(VLOOKUP($B129,'Base de datos'!$A$3:$K$24,9,FALSE),"")&lt;&gt;"",IFERROR(VLOOKUP($B129,'Base de datos'!$A$3:$K$24,9,FALSE),"")&lt;&gt;0)),"",IFERROR($E129*$C129/IFERROR(VLOOKUP($B129,'Base de datos'!$A$3:$K$24,5,FALSE),0),""))</f>
        <v/>
      </c>
      <c r="O129" s="6" t="str">
        <f>IF(OR(OR(UPPER(IFERROR(VLOOKUP($B129,'Base de datos'!$A$3:$K$24,11,FALSE),""))="NO",ISNUMBER(SEARCH("no sometida",IFERROR(VLOOKUP($B129,'Base de datos'!$A$3:$K$24,10,FALSE),""))),ISNUMBER(SEARCH("no fiscal",IFERROR(VLOOKUP($B129,'Base de datos'!$A$3:$K$24,10,FALSE),"")))),OR(ISNUMBER(SEARCH("Hach",$B129)),ISNUMBER(SEARCH("Ketamina",$B129))),AND(IFERROR(VLOOKUP($B129,'Base de datos'!$A$3:$K$24,9,FALSE),"")&lt;&gt;"",IFERROR(VLOOKUP($B129,'Base de datos'!$A$3:$K$24,9,FALSE),"")&lt;&gt;0)),"",IFERROR((($E129*$C129/IFERROR(VLOOKUP($B129,'Base de datos'!$A$3:$K$24,3,FALSE),0))*1000)/IFERROR(VLOOKUP($B129,'Base de datos'!$A$3:$K$24,2,FALSE),0),""))</f>
        <v/>
      </c>
    </row>
    <row r="130" spans="1:15" x14ac:dyDescent="0.25">
      <c r="A130" s="4"/>
      <c r="B130" s="4"/>
      <c r="C130" s="5" t="str">
        <f>IFERROR(VLOOKUP($B130,'Base de datos'!$A$3:$K$24,3,FALSE),"")</f>
        <v/>
      </c>
      <c r="D130" s="4" t="str">
        <f t="shared" si="3"/>
        <v/>
      </c>
      <c r="E130" s="6"/>
      <c r="F130" s="7" t="str">
        <f>IF($B130="","",IF(OR(UPPER(IFERROR(VLOOKUP($B130,'Base de datos'!$A$3:$K$24,11,FALSE),""))="NO",ISNUMBER(SEARCH("no sometida",IFERROR(VLOOKUP($B130,'Base de datos'!$A$3:$K$24,10,FALSE),""))),ISNUMBER(SEARCH("no fiscal",IFERROR(VLOOKUP($B130,'Base de datos'!$A$3:$K$24,10,FALSE),"")))),"",IF(OR(OR(ISNUMBER(SEARCH("Hach",$B130)),ISNUMBER(SEARCH("Ketamina",$B130))),AND(IFERROR(VLOOKUP($B130,'Base de datos'!$A$3:$K$24,9,FALSE),"")&lt;&gt;"",IFERROR(VLOOKUP($B130,'Base de datos'!$A$3:$K$24,9,FALSE),"")&lt;&gt;0)),"",IFERROR($M130*VLOOKUP($B130,'Base de datos'!$A$3:$K$24,8,FALSE)/1000,""))))</f>
        <v/>
      </c>
      <c r="G130" s="7" t="str">
        <f>IF($B130="","",IF(OR(UPPER(IFERROR(VLOOKUP($B130,'Base de datos'!$A$3:$K$24,11,FALSE),""))="NO",ISNUMBER(SEARCH("no sometida",IFERROR(VLOOKUP($B130,'Base de datos'!$A$3:$K$24,10,FALSE),""))),ISNUMBER(SEARCH("no fiscal",IFERROR(VLOOKUP($B130,'Base de datos'!$A$3:$K$24,10,FALSE),"")))),"",IFERROR(IF(OR(ISNUMBER(SEARCH("Hach",$B130)),ISNUMBER(SEARCH("Ketamina",$B130))),IF(VLOOKUP($B130,'Base de datos'!$A$3:$K$24,6,FALSE)="","",$E130*VLOOKUP($B130,'Base de datos'!$A$3:$K$24,6,FALSE)),IF(AND(IFERROR(VLOOKUP($B130,'Base de datos'!$A$3:$K$24,9,FALSE),"")&lt;&gt;"",IFERROR(VLOOKUP($B130,'Base de datos'!$A$3:$K$24,9,FALSE),"")&lt;&gt;0),"",IF(VLOOKUP($B130,'Base de datos'!$A$3:$K$24,6,FALSE)="","",$N130*VLOOKUP($B130,'Base de datos'!$A$3:$K$24,6,FALSE)))),"")))</f>
        <v/>
      </c>
      <c r="H130" s="7" t="str">
        <f>IF($B130="","",IF(OR(UPPER(IFERROR(VLOOKUP($B130,'Base de datos'!$A$3:$K$24,11,FALSE),""))="NO",ISNUMBER(SEARCH("no sometida",IFERROR(VLOOKUP($B130,'Base de datos'!$A$3:$K$24,10,FALSE),""))),ISNUMBER(SEARCH("no fiscal",IFERROR(VLOOKUP($B130,'Base de datos'!$A$3:$K$24,10,FALSE),"")))),"",IF(OR(ISNUMBER(SEARCH("Hach",$B130)),ISNUMBER(SEARCH("Ketamina",$B130))),"",IF(AND(IFERROR(VLOOKUP($B130,'Base de datos'!$A$3:$K$24,9,FALSE),"")&lt;&gt;"",IFERROR(VLOOKUP($B130,'Base de datos'!$A$3:$K$24,9,FALSE),"")&lt;&gt;0),$E130*IFERROR(VLOOKUP($B130,'Base de datos'!$A$3:$K$24,9,FALSE),""),IFERROR($O130*VLOOKUP($B130,'Base de datos'!$A$3:$K$24,4,FALSE),"")))))</f>
        <v/>
      </c>
      <c r="I130" s="5" t="str">
        <f>IFERROR(VLOOKUP($B130,'Base de datos'!$A$3:$K$24,7,FALSE),"")</f>
        <v/>
      </c>
      <c r="J130" s="13" t="str">
        <f>IFERROR(VLOOKUP($B130,'Base de datos'!$A$3:$K$24,10,FALSE),"")</f>
        <v/>
      </c>
      <c r="K130" s="6"/>
      <c r="L130" s="4"/>
      <c r="M130" s="6" t="str">
        <f>IF(OR(OR(UPPER(IFERROR(VLOOKUP($B130,'Base de datos'!$A$3:$K$24,11,FALSE),""))="NO",ISNUMBER(SEARCH("no sometida",IFERROR(VLOOKUP($B130,'Base de datos'!$A$3:$K$24,10,FALSE),""))),ISNUMBER(SEARCH("no fiscal",IFERROR(VLOOKUP($B130,'Base de datos'!$A$3:$K$24,10,FALSE),"")))),OR(ISNUMBER(SEARCH("Hach",$B130)),ISNUMBER(SEARCH("Ketamina",$B130))),AND(IFERROR(VLOOKUP($B130,'Base de datos'!$A$3:$K$24,9,FALSE),"")&lt;&gt;"",IFERROR(VLOOKUP($B130,'Base de datos'!$A$3:$K$24,9,FALSE),"")&lt;&gt;0)),"",IFERROR($E130*$C130/$I130,""))</f>
        <v/>
      </c>
      <c r="N130" s="6" t="str">
        <f>IF(OR(OR(UPPER(IFERROR(VLOOKUP($B130,'Base de datos'!$A$3:$K$24,11,FALSE),""))="NO",ISNUMBER(SEARCH("no sometida",IFERROR(VLOOKUP($B130,'Base de datos'!$A$3:$K$24,10,FALSE),""))),ISNUMBER(SEARCH("no fiscal",IFERROR(VLOOKUP($B130,'Base de datos'!$A$3:$K$24,10,FALSE),"")))),OR(ISNUMBER(SEARCH("Hach",$B130)),ISNUMBER(SEARCH("Ketamina",$B130))),AND(IFERROR(VLOOKUP($B130,'Base de datos'!$A$3:$K$24,9,FALSE),"")&lt;&gt;"",IFERROR(VLOOKUP($B130,'Base de datos'!$A$3:$K$24,9,FALSE),"")&lt;&gt;0)),"",IFERROR($E130*$C130/IFERROR(VLOOKUP($B130,'Base de datos'!$A$3:$K$24,5,FALSE),0),""))</f>
        <v/>
      </c>
      <c r="O130" s="6" t="str">
        <f>IF(OR(OR(UPPER(IFERROR(VLOOKUP($B130,'Base de datos'!$A$3:$K$24,11,FALSE),""))="NO",ISNUMBER(SEARCH("no sometida",IFERROR(VLOOKUP($B130,'Base de datos'!$A$3:$K$24,10,FALSE),""))),ISNUMBER(SEARCH("no fiscal",IFERROR(VLOOKUP($B130,'Base de datos'!$A$3:$K$24,10,FALSE),"")))),OR(ISNUMBER(SEARCH("Hach",$B130)),ISNUMBER(SEARCH("Ketamina",$B130))),AND(IFERROR(VLOOKUP($B130,'Base de datos'!$A$3:$K$24,9,FALSE),"")&lt;&gt;"",IFERROR(VLOOKUP($B130,'Base de datos'!$A$3:$K$24,9,FALSE),"")&lt;&gt;0)),"",IFERROR((($E130*$C130/IFERROR(VLOOKUP($B130,'Base de datos'!$A$3:$K$24,3,FALSE),0))*1000)/IFERROR(VLOOKUP($B130,'Base de datos'!$A$3:$K$24,2,FALSE),0),""))</f>
        <v/>
      </c>
    </row>
    <row r="131" spans="1:15" x14ac:dyDescent="0.25">
      <c r="A131" s="4"/>
      <c r="B131" s="4"/>
      <c r="C131" s="5" t="str">
        <f>IFERROR(VLOOKUP($B131,'Base de datos'!$A$3:$K$24,3,FALSE),"")</f>
        <v/>
      </c>
      <c r="D131" s="4" t="str">
        <f t="shared" si="3"/>
        <v/>
      </c>
      <c r="E131" s="6"/>
      <c r="F131" s="7" t="str">
        <f>IF($B131="","",IF(OR(UPPER(IFERROR(VLOOKUP($B131,'Base de datos'!$A$3:$K$24,11,FALSE),""))="NO",ISNUMBER(SEARCH("no sometida",IFERROR(VLOOKUP($B131,'Base de datos'!$A$3:$K$24,10,FALSE),""))),ISNUMBER(SEARCH("no fiscal",IFERROR(VLOOKUP($B131,'Base de datos'!$A$3:$K$24,10,FALSE),"")))),"",IF(OR(OR(ISNUMBER(SEARCH("Hach",$B131)),ISNUMBER(SEARCH("Ketamina",$B131))),AND(IFERROR(VLOOKUP($B131,'Base de datos'!$A$3:$K$24,9,FALSE),"")&lt;&gt;"",IFERROR(VLOOKUP($B131,'Base de datos'!$A$3:$K$24,9,FALSE),"")&lt;&gt;0)),"",IFERROR($M131*VLOOKUP($B131,'Base de datos'!$A$3:$K$24,8,FALSE)/1000,""))))</f>
        <v/>
      </c>
      <c r="G131" s="7" t="str">
        <f>IF($B131="","",IF(OR(UPPER(IFERROR(VLOOKUP($B131,'Base de datos'!$A$3:$K$24,11,FALSE),""))="NO",ISNUMBER(SEARCH("no sometida",IFERROR(VLOOKUP($B131,'Base de datos'!$A$3:$K$24,10,FALSE),""))),ISNUMBER(SEARCH("no fiscal",IFERROR(VLOOKUP($B131,'Base de datos'!$A$3:$K$24,10,FALSE),"")))),"",IFERROR(IF(OR(ISNUMBER(SEARCH("Hach",$B131)),ISNUMBER(SEARCH("Ketamina",$B131))),IF(VLOOKUP($B131,'Base de datos'!$A$3:$K$24,6,FALSE)="","",$E131*VLOOKUP($B131,'Base de datos'!$A$3:$K$24,6,FALSE)),IF(AND(IFERROR(VLOOKUP($B131,'Base de datos'!$A$3:$K$24,9,FALSE),"")&lt;&gt;"",IFERROR(VLOOKUP($B131,'Base de datos'!$A$3:$K$24,9,FALSE),"")&lt;&gt;0),"",IF(VLOOKUP($B131,'Base de datos'!$A$3:$K$24,6,FALSE)="","",$N131*VLOOKUP($B131,'Base de datos'!$A$3:$K$24,6,FALSE)))),"")))</f>
        <v/>
      </c>
      <c r="H131" s="7" t="str">
        <f>IF($B131="","",IF(OR(UPPER(IFERROR(VLOOKUP($B131,'Base de datos'!$A$3:$K$24,11,FALSE),""))="NO",ISNUMBER(SEARCH("no sometida",IFERROR(VLOOKUP($B131,'Base de datos'!$A$3:$K$24,10,FALSE),""))),ISNUMBER(SEARCH("no fiscal",IFERROR(VLOOKUP($B131,'Base de datos'!$A$3:$K$24,10,FALSE),"")))),"",IF(OR(ISNUMBER(SEARCH("Hach",$B131)),ISNUMBER(SEARCH("Ketamina",$B131))),"",IF(AND(IFERROR(VLOOKUP($B131,'Base de datos'!$A$3:$K$24,9,FALSE),"")&lt;&gt;"",IFERROR(VLOOKUP($B131,'Base de datos'!$A$3:$K$24,9,FALSE),"")&lt;&gt;0),$E131*IFERROR(VLOOKUP($B131,'Base de datos'!$A$3:$K$24,9,FALSE),""),IFERROR($O131*VLOOKUP($B131,'Base de datos'!$A$3:$K$24,4,FALSE),"")))))</f>
        <v/>
      </c>
      <c r="I131" s="5" t="str">
        <f>IFERROR(VLOOKUP($B131,'Base de datos'!$A$3:$K$24,7,FALSE),"")</f>
        <v/>
      </c>
      <c r="J131" s="13" t="str">
        <f>IFERROR(VLOOKUP($B131,'Base de datos'!$A$3:$K$24,10,FALSE),"")</f>
        <v/>
      </c>
      <c r="K131" s="6"/>
      <c r="L131" s="4"/>
      <c r="M131" s="6" t="str">
        <f>IF(OR(OR(UPPER(IFERROR(VLOOKUP($B131,'Base de datos'!$A$3:$K$24,11,FALSE),""))="NO",ISNUMBER(SEARCH("no sometida",IFERROR(VLOOKUP($B131,'Base de datos'!$A$3:$K$24,10,FALSE),""))),ISNUMBER(SEARCH("no fiscal",IFERROR(VLOOKUP($B131,'Base de datos'!$A$3:$K$24,10,FALSE),"")))),OR(ISNUMBER(SEARCH("Hach",$B131)),ISNUMBER(SEARCH("Ketamina",$B131))),AND(IFERROR(VLOOKUP($B131,'Base de datos'!$A$3:$K$24,9,FALSE),"")&lt;&gt;"",IFERROR(VLOOKUP($B131,'Base de datos'!$A$3:$K$24,9,FALSE),"")&lt;&gt;0)),"",IFERROR($E131*$C131/$I131,""))</f>
        <v/>
      </c>
      <c r="N131" s="6" t="str">
        <f>IF(OR(OR(UPPER(IFERROR(VLOOKUP($B131,'Base de datos'!$A$3:$K$24,11,FALSE),""))="NO",ISNUMBER(SEARCH("no sometida",IFERROR(VLOOKUP($B131,'Base de datos'!$A$3:$K$24,10,FALSE),""))),ISNUMBER(SEARCH("no fiscal",IFERROR(VLOOKUP($B131,'Base de datos'!$A$3:$K$24,10,FALSE),"")))),OR(ISNUMBER(SEARCH("Hach",$B131)),ISNUMBER(SEARCH("Ketamina",$B131))),AND(IFERROR(VLOOKUP($B131,'Base de datos'!$A$3:$K$24,9,FALSE),"")&lt;&gt;"",IFERROR(VLOOKUP($B131,'Base de datos'!$A$3:$K$24,9,FALSE),"")&lt;&gt;0)),"",IFERROR($E131*$C131/IFERROR(VLOOKUP($B131,'Base de datos'!$A$3:$K$24,5,FALSE),0),""))</f>
        <v/>
      </c>
      <c r="O131" s="6" t="str">
        <f>IF(OR(OR(UPPER(IFERROR(VLOOKUP($B131,'Base de datos'!$A$3:$K$24,11,FALSE),""))="NO",ISNUMBER(SEARCH("no sometida",IFERROR(VLOOKUP($B131,'Base de datos'!$A$3:$K$24,10,FALSE),""))),ISNUMBER(SEARCH("no fiscal",IFERROR(VLOOKUP($B131,'Base de datos'!$A$3:$K$24,10,FALSE),"")))),OR(ISNUMBER(SEARCH("Hach",$B131)),ISNUMBER(SEARCH("Ketamina",$B131))),AND(IFERROR(VLOOKUP($B131,'Base de datos'!$A$3:$K$24,9,FALSE),"")&lt;&gt;"",IFERROR(VLOOKUP($B131,'Base de datos'!$A$3:$K$24,9,FALSE),"")&lt;&gt;0)),"",IFERROR((($E131*$C131/IFERROR(VLOOKUP($B131,'Base de datos'!$A$3:$K$24,3,FALSE),0))*1000)/IFERROR(VLOOKUP($B131,'Base de datos'!$A$3:$K$24,2,FALSE),0),""))</f>
        <v/>
      </c>
    </row>
    <row r="132" spans="1:15" x14ac:dyDescent="0.25">
      <c r="A132" s="4"/>
      <c r="B132" s="4"/>
      <c r="C132" s="5" t="str">
        <f>IFERROR(VLOOKUP($B132,'Base de datos'!$A$3:$K$24,3,FALSE),"")</f>
        <v/>
      </c>
      <c r="D132" s="4" t="str">
        <f t="shared" si="3"/>
        <v/>
      </c>
      <c r="E132" s="6"/>
      <c r="F132" s="7" t="str">
        <f>IF($B132="","",IF(OR(UPPER(IFERROR(VLOOKUP($B132,'Base de datos'!$A$3:$K$24,11,FALSE),""))="NO",ISNUMBER(SEARCH("no sometida",IFERROR(VLOOKUP($B132,'Base de datos'!$A$3:$K$24,10,FALSE),""))),ISNUMBER(SEARCH("no fiscal",IFERROR(VLOOKUP($B132,'Base de datos'!$A$3:$K$24,10,FALSE),"")))),"",IF(OR(OR(ISNUMBER(SEARCH("Hach",$B132)),ISNUMBER(SEARCH("Ketamina",$B132))),AND(IFERROR(VLOOKUP($B132,'Base de datos'!$A$3:$K$24,9,FALSE),"")&lt;&gt;"",IFERROR(VLOOKUP($B132,'Base de datos'!$A$3:$K$24,9,FALSE),"")&lt;&gt;0)),"",IFERROR($M132*VLOOKUP($B132,'Base de datos'!$A$3:$K$24,8,FALSE)/1000,""))))</f>
        <v/>
      </c>
      <c r="G132" s="7" t="str">
        <f>IF($B132="","",IF(OR(UPPER(IFERROR(VLOOKUP($B132,'Base de datos'!$A$3:$K$24,11,FALSE),""))="NO",ISNUMBER(SEARCH("no sometida",IFERROR(VLOOKUP($B132,'Base de datos'!$A$3:$K$24,10,FALSE),""))),ISNUMBER(SEARCH("no fiscal",IFERROR(VLOOKUP($B132,'Base de datos'!$A$3:$K$24,10,FALSE),"")))),"",IFERROR(IF(OR(ISNUMBER(SEARCH("Hach",$B132)),ISNUMBER(SEARCH("Ketamina",$B132))),IF(VLOOKUP($B132,'Base de datos'!$A$3:$K$24,6,FALSE)="","",$E132*VLOOKUP($B132,'Base de datos'!$A$3:$K$24,6,FALSE)),IF(AND(IFERROR(VLOOKUP($B132,'Base de datos'!$A$3:$K$24,9,FALSE),"")&lt;&gt;"",IFERROR(VLOOKUP($B132,'Base de datos'!$A$3:$K$24,9,FALSE),"")&lt;&gt;0),"",IF(VLOOKUP($B132,'Base de datos'!$A$3:$K$24,6,FALSE)="","",$N132*VLOOKUP($B132,'Base de datos'!$A$3:$K$24,6,FALSE)))),"")))</f>
        <v/>
      </c>
      <c r="H132" s="7" t="str">
        <f>IF($B132="","",IF(OR(UPPER(IFERROR(VLOOKUP($B132,'Base de datos'!$A$3:$K$24,11,FALSE),""))="NO",ISNUMBER(SEARCH("no sometida",IFERROR(VLOOKUP($B132,'Base de datos'!$A$3:$K$24,10,FALSE),""))),ISNUMBER(SEARCH("no fiscal",IFERROR(VLOOKUP($B132,'Base de datos'!$A$3:$K$24,10,FALSE),"")))),"",IF(OR(ISNUMBER(SEARCH("Hach",$B132)),ISNUMBER(SEARCH("Ketamina",$B132))),"",IF(AND(IFERROR(VLOOKUP($B132,'Base de datos'!$A$3:$K$24,9,FALSE),"")&lt;&gt;"",IFERROR(VLOOKUP($B132,'Base de datos'!$A$3:$K$24,9,FALSE),"")&lt;&gt;0),$E132*IFERROR(VLOOKUP($B132,'Base de datos'!$A$3:$K$24,9,FALSE),""),IFERROR($O132*VLOOKUP($B132,'Base de datos'!$A$3:$K$24,4,FALSE),"")))))</f>
        <v/>
      </c>
      <c r="I132" s="5" t="str">
        <f>IFERROR(VLOOKUP($B132,'Base de datos'!$A$3:$K$24,7,FALSE),"")</f>
        <v/>
      </c>
      <c r="J132" s="13" t="str">
        <f>IFERROR(VLOOKUP($B132,'Base de datos'!$A$3:$K$24,10,FALSE),"")</f>
        <v/>
      </c>
      <c r="K132" s="6"/>
      <c r="L132" s="4"/>
      <c r="M132" s="6" t="str">
        <f>IF(OR(OR(UPPER(IFERROR(VLOOKUP($B132,'Base de datos'!$A$3:$K$24,11,FALSE),""))="NO",ISNUMBER(SEARCH("no sometida",IFERROR(VLOOKUP($B132,'Base de datos'!$A$3:$K$24,10,FALSE),""))),ISNUMBER(SEARCH("no fiscal",IFERROR(VLOOKUP($B132,'Base de datos'!$A$3:$K$24,10,FALSE),"")))),OR(ISNUMBER(SEARCH("Hach",$B132)),ISNUMBER(SEARCH("Ketamina",$B132))),AND(IFERROR(VLOOKUP($B132,'Base de datos'!$A$3:$K$24,9,FALSE),"")&lt;&gt;"",IFERROR(VLOOKUP($B132,'Base de datos'!$A$3:$K$24,9,FALSE),"")&lt;&gt;0)),"",IFERROR($E132*$C132/$I132,""))</f>
        <v/>
      </c>
      <c r="N132" s="6" t="str">
        <f>IF(OR(OR(UPPER(IFERROR(VLOOKUP($B132,'Base de datos'!$A$3:$K$24,11,FALSE),""))="NO",ISNUMBER(SEARCH("no sometida",IFERROR(VLOOKUP($B132,'Base de datos'!$A$3:$K$24,10,FALSE),""))),ISNUMBER(SEARCH("no fiscal",IFERROR(VLOOKUP($B132,'Base de datos'!$A$3:$K$24,10,FALSE),"")))),OR(ISNUMBER(SEARCH("Hach",$B132)),ISNUMBER(SEARCH("Ketamina",$B132))),AND(IFERROR(VLOOKUP($B132,'Base de datos'!$A$3:$K$24,9,FALSE),"")&lt;&gt;"",IFERROR(VLOOKUP($B132,'Base de datos'!$A$3:$K$24,9,FALSE),"")&lt;&gt;0)),"",IFERROR($E132*$C132/IFERROR(VLOOKUP($B132,'Base de datos'!$A$3:$K$24,5,FALSE),0),""))</f>
        <v/>
      </c>
      <c r="O132" s="6" t="str">
        <f>IF(OR(OR(UPPER(IFERROR(VLOOKUP($B132,'Base de datos'!$A$3:$K$24,11,FALSE),""))="NO",ISNUMBER(SEARCH("no sometida",IFERROR(VLOOKUP($B132,'Base de datos'!$A$3:$K$24,10,FALSE),""))),ISNUMBER(SEARCH("no fiscal",IFERROR(VLOOKUP($B132,'Base de datos'!$A$3:$K$24,10,FALSE),"")))),OR(ISNUMBER(SEARCH("Hach",$B132)),ISNUMBER(SEARCH("Ketamina",$B132))),AND(IFERROR(VLOOKUP($B132,'Base de datos'!$A$3:$K$24,9,FALSE),"")&lt;&gt;"",IFERROR(VLOOKUP($B132,'Base de datos'!$A$3:$K$24,9,FALSE),"")&lt;&gt;0)),"",IFERROR((($E132*$C132/IFERROR(VLOOKUP($B132,'Base de datos'!$A$3:$K$24,3,FALSE),0))*1000)/IFERROR(VLOOKUP($B132,'Base de datos'!$A$3:$K$24,2,FALSE),0),""))</f>
        <v/>
      </c>
    </row>
    <row r="133" spans="1:15" x14ac:dyDescent="0.25">
      <c r="A133" s="4"/>
      <c r="B133" s="4"/>
      <c r="C133" s="5" t="str">
        <f>IFERROR(VLOOKUP($B133,'Base de datos'!$A$3:$K$24,3,FALSE),"")</f>
        <v/>
      </c>
      <c r="D133" s="4" t="str">
        <f t="shared" ref="D133:D164" si="4">IF($B133="","",$B133)</f>
        <v/>
      </c>
      <c r="E133" s="6"/>
      <c r="F133" s="7" t="str">
        <f>IF($B133="","",IF(OR(UPPER(IFERROR(VLOOKUP($B133,'Base de datos'!$A$3:$K$24,11,FALSE),""))="NO",ISNUMBER(SEARCH("no sometida",IFERROR(VLOOKUP($B133,'Base de datos'!$A$3:$K$24,10,FALSE),""))),ISNUMBER(SEARCH("no fiscal",IFERROR(VLOOKUP($B133,'Base de datos'!$A$3:$K$24,10,FALSE),"")))),"",IF(OR(OR(ISNUMBER(SEARCH("Hach",$B133)),ISNUMBER(SEARCH("Ketamina",$B133))),AND(IFERROR(VLOOKUP($B133,'Base de datos'!$A$3:$K$24,9,FALSE),"")&lt;&gt;"",IFERROR(VLOOKUP($B133,'Base de datos'!$A$3:$K$24,9,FALSE),"")&lt;&gt;0)),"",IFERROR($M133*VLOOKUP($B133,'Base de datos'!$A$3:$K$24,8,FALSE)/1000,""))))</f>
        <v/>
      </c>
      <c r="G133" s="7" t="str">
        <f>IF($B133="","",IF(OR(UPPER(IFERROR(VLOOKUP($B133,'Base de datos'!$A$3:$K$24,11,FALSE),""))="NO",ISNUMBER(SEARCH("no sometida",IFERROR(VLOOKUP($B133,'Base de datos'!$A$3:$K$24,10,FALSE),""))),ISNUMBER(SEARCH("no fiscal",IFERROR(VLOOKUP($B133,'Base de datos'!$A$3:$K$24,10,FALSE),"")))),"",IFERROR(IF(OR(ISNUMBER(SEARCH("Hach",$B133)),ISNUMBER(SEARCH("Ketamina",$B133))),IF(VLOOKUP($B133,'Base de datos'!$A$3:$K$24,6,FALSE)="","",$E133*VLOOKUP($B133,'Base de datos'!$A$3:$K$24,6,FALSE)),IF(AND(IFERROR(VLOOKUP($B133,'Base de datos'!$A$3:$K$24,9,FALSE),"")&lt;&gt;"",IFERROR(VLOOKUP($B133,'Base de datos'!$A$3:$K$24,9,FALSE),"")&lt;&gt;0),"",IF(VLOOKUP($B133,'Base de datos'!$A$3:$K$24,6,FALSE)="","",$N133*VLOOKUP($B133,'Base de datos'!$A$3:$K$24,6,FALSE)))),"")))</f>
        <v/>
      </c>
      <c r="H133" s="7" t="str">
        <f>IF($B133="","",IF(OR(UPPER(IFERROR(VLOOKUP($B133,'Base de datos'!$A$3:$K$24,11,FALSE),""))="NO",ISNUMBER(SEARCH("no sometida",IFERROR(VLOOKUP($B133,'Base de datos'!$A$3:$K$24,10,FALSE),""))),ISNUMBER(SEARCH("no fiscal",IFERROR(VLOOKUP($B133,'Base de datos'!$A$3:$K$24,10,FALSE),"")))),"",IF(OR(ISNUMBER(SEARCH("Hach",$B133)),ISNUMBER(SEARCH("Ketamina",$B133))),"",IF(AND(IFERROR(VLOOKUP($B133,'Base de datos'!$A$3:$K$24,9,FALSE),"")&lt;&gt;"",IFERROR(VLOOKUP($B133,'Base de datos'!$A$3:$K$24,9,FALSE),"")&lt;&gt;0),$E133*IFERROR(VLOOKUP($B133,'Base de datos'!$A$3:$K$24,9,FALSE),""),IFERROR($O133*VLOOKUP($B133,'Base de datos'!$A$3:$K$24,4,FALSE),"")))))</f>
        <v/>
      </c>
      <c r="I133" s="5" t="str">
        <f>IFERROR(VLOOKUP($B133,'Base de datos'!$A$3:$K$24,7,FALSE),"")</f>
        <v/>
      </c>
      <c r="J133" s="13" t="str">
        <f>IFERROR(VLOOKUP($B133,'Base de datos'!$A$3:$K$24,10,FALSE),"")</f>
        <v/>
      </c>
      <c r="K133" s="6"/>
      <c r="L133" s="4"/>
      <c r="M133" s="6" t="str">
        <f>IF(OR(OR(UPPER(IFERROR(VLOOKUP($B133,'Base de datos'!$A$3:$K$24,11,FALSE),""))="NO",ISNUMBER(SEARCH("no sometida",IFERROR(VLOOKUP($B133,'Base de datos'!$A$3:$K$24,10,FALSE),""))),ISNUMBER(SEARCH("no fiscal",IFERROR(VLOOKUP($B133,'Base de datos'!$A$3:$K$24,10,FALSE),"")))),OR(ISNUMBER(SEARCH("Hach",$B133)),ISNUMBER(SEARCH("Ketamina",$B133))),AND(IFERROR(VLOOKUP($B133,'Base de datos'!$A$3:$K$24,9,FALSE),"")&lt;&gt;"",IFERROR(VLOOKUP($B133,'Base de datos'!$A$3:$K$24,9,FALSE),"")&lt;&gt;0)),"",IFERROR($E133*$C133/$I133,""))</f>
        <v/>
      </c>
      <c r="N133" s="6" t="str">
        <f>IF(OR(OR(UPPER(IFERROR(VLOOKUP($B133,'Base de datos'!$A$3:$K$24,11,FALSE),""))="NO",ISNUMBER(SEARCH("no sometida",IFERROR(VLOOKUP($B133,'Base de datos'!$A$3:$K$24,10,FALSE),""))),ISNUMBER(SEARCH("no fiscal",IFERROR(VLOOKUP($B133,'Base de datos'!$A$3:$K$24,10,FALSE),"")))),OR(ISNUMBER(SEARCH("Hach",$B133)),ISNUMBER(SEARCH("Ketamina",$B133))),AND(IFERROR(VLOOKUP($B133,'Base de datos'!$A$3:$K$24,9,FALSE),"")&lt;&gt;"",IFERROR(VLOOKUP($B133,'Base de datos'!$A$3:$K$24,9,FALSE),"")&lt;&gt;0)),"",IFERROR($E133*$C133/IFERROR(VLOOKUP($B133,'Base de datos'!$A$3:$K$24,5,FALSE),0),""))</f>
        <v/>
      </c>
      <c r="O133" s="6" t="str">
        <f>IF(OR(OR(UPPER(IFERROR(VLOOKUP($B133,'Base de datos'!$A$3:$K$24,11,FALSE),""))="NO",ISNUMBER(SEARCH("no sometida",IFERROR(VLOOKUP($B133,'Base de datos'!$A$3:$K$24,10,FALSE),""))),ISNUMBER(SEARCH("no fiscal",IFERROR(VLOOKUP($B133,'Base de datos'!$A$3:$K$24,10,FALSE),"")))),OR(ISNUMBER(SEARCH("Hach",$B133)),ISNUMBER(SEARCH("Ketamina",$B133))),AND(IFERROR(VLOOKUP($B133,'Base de datos'!$A$3:$K$24,9,FALSE),"")&lt;&gt;"",IFERROR(VLOOKUP($B133,'Base de datos'!$A$3:$K$24,9,FALSE),"")&lt;&gt;0)),"",IFERROR((($E133*$C133/IFERROR(VLOOKUP($B133,'Base de datos'!$A$3:$K$24,3,FALSE),0))*1000)/IFERROR(VLOOKUP($B133,'Base de datos'!$A$3:$K$24,2,FALSE),0),""))</f>
        <v/>
      </c>
    </row>
    <row r="134" spans="1:15" x14ac:dyDescent="0.25">
      <c r="A134" s="4"/>
      <c r="B134" s="4"/>
      <c r="C134" s="5" t="str">
        <f>IFERROR(VLOOKUP($B134,'Base de datos'!$A$3:$K$24,3,FALSE),"")</f>
        <v/>
      </c>
      <c r="D134" s="4" t="str">
        <f t="shared" si="4"/>
        <v/>
      </c>
      <c r="E134" s="6"/>
      <c r="F134" s="7" t="str">
        <f>IF($B134="","",IF(OR(UPPER(IFERROR(VLOOKUP($B134,'Base de datos'!$A$3:$K$24,11,FALSE),""))="NO",ISNUMBER(SEARCH("no sometida",IFERROR(VLOOKUP($B134,'Base de datos'!$A$3:$K$24,10,FALSE),""))),ISNUMBER(SEARCH("no fiscal",IFERROR(VLOOKUP($B134,'Base de datos'!$A$3:$K$24,10,FALSE),"")))),"",IF(OR(OR(ISNUMBER(SEARCH("Hach",$B134)),ISNUMBER(SEARCH("Ketamina",$B134))),AND(IFERROR(VLOOKUP($B134,'Base de datos'!$A$3:$K$24,9,FALSE),"")&lt;&gt;"",IFERROR(VLOOKUP($B134,'Base de datos'!$A$3:$K$24,9,FALSE),"")&lt;&gt;0)),"",IFERROR($M134*VLOOKUP($B134,'Base de datos'!$A$3:$K$24,8,FALSE)/1000,""))))</f>
        <v/>
      </c>
      <c r="G134" s="7" t="str">
        <f>IF($B134="","",IF(OR(UPPER(IFERROR(VLOOKUP($B134,'Base de datos'!$A$3:$K$24,11,FALSE),""))="NO",ISNUMBER(SEARCH("no sometida",IFERROR(VLOOKUP($B134,'Base de datos'!$A$3:$K$24,10,FALSE),""))),ISNUMBER(SEARCH("no fiscal",IFERROR(VLOOKUP($B134,'Base de datos'!$A$3:$K$24,10,FALSE),"")))),"",IFERROR(IF(OR(ISNUMBER(SEARCH("Hach",$B134)),ISNUMBER(SEARCH("Ketamina",$B134))),IF(VLOOKUP($B134,'Base de datos'!$A$3:$K$24,6,FALSE)="","",$E134*VLOOKUP($B134,'Base de datos'!$A$3:$K$24,6,FALSE)),IF(AND(IFERROR(VLOOKUP($B134,'Base de datos'!$A$3:$K$24,9,FALSE),"")&lt;&gt;"",IFERROR(VLOOKUP($B134,'Base de datos'!$A$3:$K$24,9,FALSE),"")&lt;&gt;0),"",IF(VLOOKUP($B134,'Base de datos'!$A$3:$K$24,6,FALSE)="","",$N134*VLOOKUP($B134,'Base de datos'!$A$3:$K$24,6,FALSE)))),"")))</f>
        <v/>
      </c>
      <c r="H134" s="7" t="str">
        <f>IF($B134="","",IF(OR(UPPER(IFERROR(VLOOKUP($B134,'Base de datos'!$A$3:$K$24,11,FALSE),""))="NO",ISNUMBER(SEARCH("no sometida",IFERROR(VLOOKUP($B134,'Base de datos'!$A$3:$K$24,10,FALSE),""))),ISNUMBER(SEARCH("no fiscal",IFERROR(VLOOKUP($B134,'Base de datos'!$A$3:$K$24,10,FALSE),"")))),"",IF(OR(ISNUMBER(SEARCH("Hach",$B134)),ISNUMBER(SEARCH("Ketamina",$B134))),"",IF(AND(IFERROR(VLOOKUP($B134,'Base de datos'!$A$3:$K$24,9,FALSE),"")&lt;&gt;"",IFERROR(VLOOKUP($B134,'Base de datos'!$A$3:$K$24,9,FALSE),"")&lt;&gt;0),$E134*IFERROR(VLOOKUP($B134,'Base de datos'!$A$3:$K$24,9,FALSE),""),IFERROR($O134*VLOOKUP($B134,'Base de datos'!$A$3:$K$24,4,FALSE),"")))))</f>
        <v/>
      </c>
      <c r="I134" s="5" t="str">
        <f>IFERROR(VLOOKUP($B134,'Base de datos'!$A$3:$K$24,7,FALSE),"")</f>
        <v/>
      </c>
      <c r="J134" s="13" t="str">
        <f>IFERROR(VLOOKUP($B134,'Base de datos'!$A$3:$K$24,10,FALSE),"")</f>
        <v/>
      </c>
      <c r="K134" s="6"/>
      <c r="L134" s="4"/>
      <c r="M134" s="6" t="str">
        <f>IF(OR(OR(UPPER(IFERROR(VLOOKUP($B134,'Base de datos'!$A$3:$K$24,11,FALSE),""))="NO",ISNUMBER(SEARCH("no sometida",IFERROR(VLOOKUP($B134,'Base de datos'!$A$3:$K$24,10,FALSE),""))),ISNUMBER(SEARCH("no fiscal",IFERROR(VLOOKUP($B134,'Base de datos'!$A$3:$K$24,10,FALSE),"")))),OR(ISNUMBER(SEARCH("Hach",$B134)),ISNUMBER(SEARCH("Ketamina",$B134))),AND(IFERROR(VLOOKUP($B134,'Base de datos'!$A$3:$K$24,9,FALSE),"")&lt;&gt;"",IFERROR(VLOOKUP($B134,'Base de datos'!$A$3:$K$24,9,FALSE),"")&lt;&gt;0)),"",IFERROR($E134*$C134/$I134,""))</f>
        <v/>
      </c>
      <c r="N134" s="6" t="str">
        <f>IF(OR(OR(UPPER(IFERROR(VLOOKUP($B134,'Base de datos'!$A$3:$K$24,11,FALSE),""))="NO",ISNUMBER(SEARCH("no sometida",IFERROR(VLOOKUP($B134,'Base de datos'!$A$3:$K$24,10,FALSE),""))),ISNUMBER(SEARCH("no fiscal",IFERROR(VLOOKUP($B134,'Base de datos'!$A$3:$K$24,10,FALSE),"")))),OR(ISNUMBER(SEARCH("Hach",$B134)),ISNUMBER(SEARCH("Ketamina",$B134))),AND(IFERROR(VLOOKUP($B134,'Base de datos'!$A$3:$K$24,9,FALSE),"")&lt;&gt;"",IFERROR(VLOOKUP($B134,'Base de datos'!$A$3:$K$24,9,FALSE),"")&lt;&gt;0)),"",IFERROR($E134*$C134/IFERROR(VLOOKUP($B134,'Base de datos'!$A$3:$K$24,5,FALSE),0),""))</f>
        <v/>
      </c>
      <c r="O134" s="6" t="str">
        <f>IF(OR(OR(UPPER(IFERROR(VLOOKUP($B134,'Base de datos'!$A$3:$K$24,11,FALSE),""))="NO",ISNUMBER(SEARCH("no sometida",IFERROR(VLOOKUP($B134,'Base de datos'!$A$3:$K$24,10,FALSE),""))),ISNUMBER(SEARCH("no fiscal",IFERROR(VLOOKUP($B134,'Base de datos'!$A$3:$K$24,10,FALSE),"")))),OR(ISNUMBER(SEARCH("Hach",$B134)),ISNUMBER(SEARCH("Ketamina",$B134))),AND(IFERROR(VLOOKUP($B134,'Base de datos'!$A$3:$K$24,9,FALSE),"")&lt;&gt;"",IFERROR(VLOOKUP($B134,'Base de datos'!$A$3:$K$24,9,FALSE),"")&lt;&gt;0)),"",IFERROR((($E134*$C134/IFERROR(VLOOKUP($B134,'Base de datos'!$A$3:$K$24,3,FALSE),0))*1000)/IFERROR(VLOOKUP($B134,'Base de datos'!$A$3:$K$24,2,FALSE),0),""))</f>
        <v/>
      </c>
    </row>
    <row r="135" spans="1:15" x14ac:dyDescent="0.25">
      <c r="A135" s="4"/>
      <c r="B135" s="4"/>
      <c r="C135" s="5" t="str">
        <f>IFERROR(VLOOKUP($B135,'Base de datos'!$A$3:$K$24,3,FALSE),"")</f>
        <v/>
      </c>
      <c r="D135" s="4" t="str">
        <f t="shared" si="4"/>
        <v/>
      </c>
      <c r="E135" s="6"/>
      <c r="F135" s="7" t="str">
        <f>IF($B135="","",IF(OR(UPPER(IFERROR(VLOOKUP($B135,'Base de datos'!$A$3:$K$24,11,FALSE),""))="NO",ISNUMBER(SEARCH("no sometida",IFERROR(VLOOKUP($B135,'Base de datos'!$A$3:$K$24,10,FALSE),""))),ISNUMBER(SEARCH("no fiscal",IFERROR(VLOOKUP($B135,'Base de datos'!$A$3:$K$24,10,FALSE),"")))),"",IF(OR(OR(ISNUMBER(SEARCH("Hach",$B135)),ISNUMBER(SEARCH("Ketamina",$B135))),AND(IFERROR(VLOOKUP($B135,'Base de datos'!$A$3:$K$24,9,FALSE),"")&lt;&gt;"",IFERROR(VLOOKUP($B135,'Base de datos'!$A$3:$K$24,9,FALSE),"")&lt;&gt;0)),"",IFERROR($M135*VLOOKUP($B135,'Base de datos'!$A$3:$K$24,8,FALSE)/1000,""))))</f>
        <v/>
      </c>
      <c r="G135" s="7" t="str">
        <f>IF($B135="","",IF(OR(UPPER(IFERROR(VLOOKUP($B135,'Base de datos'!$A$3:$K$24,11,FALSE),""))="NO",ISNUMBER(SEARCH("no sometida",IFERROR(VLOOKUP($B135,'Base de datos'!$A$3:$K$24,10,FALSE),""))),ISNUMBER(SEARCH("no fiscal",IFERROR(VLOOKUP($B135,'Base de datos'!$A$3:$K$24,10,FALSE),"")))),"",IFERROR(IF(OR(ISNUMBER(SEARCH("Hach",$B135)),ISNUMBER(SEARCH("Ketamina",$B135))),IF(VLOOKUP($B135,'Base de datos'!$A$3:$K$24,6,FALSE)="","",$E135*VLOOKUP($B135,'Base de datos'!$A$3:$K$24,6,FALSE)),IF(AND(IFERROR(VLOOKUP($B135,'Base de datos'!$A$3:$K$24,9,FALSE),"")&lt;&gt;"",IFERROR(VLOOKUP($B135,'Base de datos'!$A$3:$K$24,9,FALSE),"")&lt;&gt;0),"",IF(VLOOKUP($B135,'Base de datos'!$A$3:$K$24,6,FALSE)="","",$N135*VLOOKUP($B135,'Base de datos'!$A$3:$K$24,6,FALSE)))),"")))</f>
        <v/>
      </c>
      <c r="H135" s="7" t="str">
        <f>IF($B135="","",IF(OR(UPPER(IFERROR(VLOOKUP($B135,'Base de datos'!$A$3:$K$24,11,FALSE),""))="NO",ISNUMBER(SEARCH("no sometida",IFERROR(VLOOKUP($B135,'Base de datos'!$A$3:$K$24,10,FALSE),""))),ISNUMBER(SEARCH("no fiscal",IFERROR(VLOOKUP($B135,'Base de datos'!$A$3:$K$24,10,FALSE),"")))),"",IF(OR(ISNUMBER(SEARCH("Hach",$B135)),ISNUMBER(SEARCH("Ketamina",$B135))),"",IF(AND(IFERROR(VLOOKUP($B135,'Base de datos'!$A$3:$K$24,9,FALSE),"")&lt;&gt;"",IFERROR(VLOOKUP($B135,'Base de datos'!$A$3:$K$24,9,FALSE),"")&lt;&gt;0),$E135*IFERROR(VLOOKUP($B135,'Base de datos'!$A$3:$K$24,9,FALSE),""),IFERROR($O135*VLOOKUP($B135,'Base de datos'!$A$3:$K$24,4,FALSE),"")))))</f>
        <v/>
      </c>
      <c r="I135" s="5" t="str">
        <f>IFERROR(VLOOKUP($B135,'Base de datos'!$A$3:$K$24,7,FALSE),"")</f>
        <v/>
      </c>
      <c r="J135" s="13" t="str">
        <f>IFERROR(VLOOKUP($B135,'Base de datos'!$A$3:$K$24,10,FALSE),"")</f>
        <v/>
      </c>
      <c r="K135" s="6"/>
      <c r="L135" s="4"/>
      <c r="M135" s="6" t="str">
        <f>IF(OR(OR(UPPER(IFERROR(VLOOKUP($B135,'Base de datos'!$A$3:$K$24,11,FALSE),""))="NO",ISNUMBER(SEARCH("no sometida",IFERROR(VLOOKUP($B135,'Base de datos'!$A$3:$K$24,10,FALSE),""))),ISNUMBER(SEARCH("no fiscal",IFERROR(VLOOKUP($B135,'Base de datos'!$A$3:$K$24,10,FALSE),"")))),OR(ISNUMBER(SEARCH("Hach",$B135)),ISNUMBER(SEARCH("Ketamina",$B135))),AND(IFERROR(VLOOKUP($B135,'Base de datos'!$A$3:$K$24,9,FALSE),"")&lt;&gt;"",IFERROR(VLOOKUP($B135,'Base de datos'!$A$3:$K$24,9,FALSE),"")&lt;&gt;0)),"",IFERROR($E135*$C135/$I135,""))</f>
        <v/>
      </c>
      <c r="N135" s="6" t="str">
        <f>IF(OR(OR(UPPER(IFERROR(VLOOKUP($B135,'Base de datos'!$A$3:$K$24,11,FALSE),""))="NO",ISNUMBER(SEARCH("no sometida",IFERROR(VLOOKUP($B135,'Base de datos'!$A$3:$K$24,10,FALSE),""))),ISNUMBER(SEARCH("no fiscal",IFERROR(VLOOKUP($B135,'Base de datos'!$A$3:$K$24,10,FALSE),"")))),OR(ISNUMBER(SEARCH("Hach",$B135)),ISNUMBER(SEARCH("Ketamina",$B135))),AND(IFERROR(VLOOKUP($B135,'Base de datos'!$A$3:$K$24,9,FALSE),"")&lt;&gt;"",IFERROR(VLOOKUP($B135,'Base de datos'!$A$3:$K$24,9,FALSE),"")&lt;&gt;0)),"",IFERROR($E135*$C135/IFERROR(VLOOKUP($B135,'Base de datos'!$A$3:$K$24,5,FALSE),0),""))</f>
        <v/>
      </c>
      <c r="O135" s="6" t="str">
        <f>IF(OR(OR(UPPER(IFERROR(VLOOKUP($B135,'Base de datos'!$A$3:$K$24,11,FALSE),""))="NO",ISNUMBER(SEARCH("no sometida",IFERROR(VLOOKUP($B135,'Base de datos'!$A$3:$K$24,10,FALSE),""))),ISNUMBER(SEARCH("no fiscal",IFERROR(VLOOKUP($B135,'Base de datos'!$A$3:$K$24,10,FALSE),"")))),OR(ISNUMBER(SEARCH("Hach",$B135)),ISNUMBER(SEARCH("Ketamina",$B135))),AND(IFERROR(VLOOKUP($B135,'Base de datos'!$A$3:$K$24,9,FALSE),"")&lt;&gt;"",IFERROR(VLOOKUP($B135,'Base de datos'!$A$3:$K$24,9,FALSE),"")&lt;&gt;0)),"",IFERROR((($E135*$C135/IFERROR(VLOOKUP($B135,'Base de datos'!$A$3:$K$24,3,FALSE),0))*1000)/IFERROR(VLOOKUP($B135,'Base de datos'!$A$3:$K$24,2,FALSE),0),""))</f>
        <v/>
      </c>
    </row>
    <row r="136" spans="1:15" x14ac:dyDescent="0.25">
      <c r="A136" s="4"/>
      <c r="B136" s="4"/>
      <c r="C136" s="5" t="str">
        <f>IFERROR(VLOOKUP($B136,'Base de datos'!$A$3:$K$24,3,FALSE),"")</f>
        <v/>
      </c>
      <c r="D136" s="4" t="str">
        <f t="shared" si="4"/>
        <v/>
      </c>
      <c r="E136" s="6"/>
      <c r="F136" s="7" t="str">
        <f>IF($B136="","",IF(OR(UPPER(IFERROR(VLOOKUP($B136,'Base de datos'!$A$3:$K$24,11,FALSE),""))="NO",ISNUMBER(SEARCH("no sometida",IFERROR(VLOOKUP($B136,'Base de datos'!$A$3:$K$24,10,FALSE),""))),ISNUMBER(SEARCH("no fiscal",IFERROR(VLOOKUP($B136,'Base de datos'!$A$3:$K$24,10,FALSE),"")))),"",IF(OR(OR(ISNUMBER(SEARCH("Hach",$B136)),ISNUMBER(SEARCH("Ketamina",$B136))),AND(IFERROR(VLOOKUP($B136,'Base de datos'!$A$3:$K$24,9,FALSE),"")&lt;&gt;"",IFERROR(VLOOKUP($B136,'Base de datos'!$A$3:$K$24,9,FALSE),"")&lt;&gt;0)),"",IFERROR($M136*VLOOKUP($B136,'Base de datos'!$A$3:$K$24,8,FALSE)/1000,""))))</f>
        <v/>
      </c>
      <c r="G136" s="7" t="str">
        <f>IF($B136="","",IF(OR(UPPER(IFERROR(VLOOKUP($B136,'Base de datos'!$A$3:$K$24,11,FALSE),""))="NO",ISNUMBER(SEARCH("no sometida",IFERROR(VLOOKUP($B136,'Base de datos'!$A$3:$K$24,10,FALSE),""))),ISNUMBER(SEARCH("no fiscal",IFERROR(VLOOKUP($B136,'Base de datos'!$A$3:$K$24,10,FALSE),"")))),"",IFERROR(IF(OR(ISNUMBER(SEARCH("Hach",$B136)),ISNUMBER(SEARCH("Ketamina",$B136))),IF(VLOOKUP($B136,'Base de datos'!$A$3:$K$24,6,FALSE)="","",$E136*VLOOKUP($B136,'Base de datos'!$A$3:$K$24,6,FALSE)),IF(AND(IFERROR(VLOOKUP($B136,'Base de datos'!$A$3:$K$24,9,FALSE),"")&lt;&gt;"",IFERROR(VLOOKUP($B136,'Base de datos'!$A$3:$K$24,9,FALSE),"")&lt;&gt;0),"",IF(VLOOKUP($B136,'Base de datos'!$A$3:$K$24,6,FALSE)="","",$N136*VLOOKUP($B136,'Base de datos'!$A$3:$K$24,6,FALSE)))),"")))</f>
        <v/>
      </c>
      <c r="H136" s="7" t="str">
        <f>IF($B136="","",IF(OR(UPPER(IFERROR(VLOOKUP($B136,'Base de datos'!$A$3:$K$24,11,FALSE),""))="NO",ISNUMBER(SEARCH("no sometida",IFERROR(VLOOKUP($B136,'Base de datos'!$A$3:$K$24,10,FALSE),""))),ISNUMBER(SEARCH("no fiscal",IFERROR(VLOOKUP($B136,'Base de datos'!$A$3:$K$24,10,FALSE),"")))),"",IF(OR(ISNUMBER(SEARCH("Hach",$B136)),ISNUMBER(SEARCH("Ketamina",$B136))),"",IF(AND(IFERROR(VLOOKUP($B136,'Base de datos'!$A$3:$K$24,9,FALSE),"")&lt;&gt;"",IFERROR(VLOOKUP($B136,'Base de datos'!$A$3:$K$24,9,FALSE),"")&lt;&gt;0),$E136*IFERROR(VLOOKUP($B136,'Base de datos'!$A$3:$K$24,9,FALSE),""),IFERROR($O136*VLOOKUP($B136,'Base de datos'!$A$3:$K$24,4,FALSE),"")))))</f>
        <v/>
      </c>
      <c r="I136" s="5" t="str">
        <f>IFERROR(VLOOKUP($B136,'Base de datos'!$A$3:$K$24,7,FALSE),"")</f>
        <v/>
      </c>
      <c r="J136" s="13" t="str">
        <f>IFERROR(VLOOKUP($B136,'Base de datos'!$A$3:$K$24,10,FALSE),"")</f>
        <v/>
      </c>
      <c r="K136" s="6"/>
      <c r="L136" s="4"/>
      <c r="M136" s="6" t="str">
        <f>IF(OR(OR(UPPER(IFERROR(VLOOKUP($B136,'Base de datos'!$A$3:$K$24,11,FALSE),""))="NO",ISNUMBER(SEARCH("no sometida",IFERROR(VLOOKUP($B136,'Base de datos'!$A$3:$K$24,10,FALSE),""))),ISNUMBER(SEARCH("no fiscal",IFERROR(VLOOKUP($B136,'Base de datos'!$A$3:$K$24,10,FALSE),"")))),OR(ISNUMBER(SEARCH("Hach",$B136)),ISNUMBER(SEARCH("Ketamina",$B136))),AND(IFERROR(VLOOKUP($B136,'Base de datos'!$A$3:$K$24,9,FALSE),"")&lt;&gt;"",IFERROR(VLOOKUP($B136,'Base de datos'!$A$3:$K$24,9,FALSE),"")&lt;&gt;0)),"",IFERROR($E136*$C136/$I136,""))</f>
        <v/>
      </c>
      <c r="N136" s="6" t="str">
        <f>IF(OR(OR(UPPER(IFERROR(VLOOKUP($B136,'Base de datos'!$A$3:$K$24,11,FALSE),""))="NO",ISNUMBER(SEARCH("no sometida",IFERROR(VLOOKUP($B136,'Base de datos'!$A$3:$K$24,10,FALSE),""))),ISNUMBER(SEARCH("no fiscal",IFERROR(VLOOKUP($B136,'Base de datos'!$A$3:$K$24,10,FALSE),"")))),OR(ISNUMBER(SEARCH("Hach",$B136)),ISNUMBER(SEARCH("Ketamina",$B136))),AND(IFERROR(VLOOKUP($B136,'Base de datos'!$A$3:$K$24,9,FALSE),"")&lt;&gt;"",IFERROR(VLOOKUP($B136,'Base de datos'!$A$3:$K$24,9,FALSE),"")&lt;&gt;0)),"",IFERROR($E136*$C136/IFERROR(VLOOKUP($B136,'Base de datos'!$A$3:$K$24,5,FALSE),0),""))</f>
        <v/>
      </c>
      <c r="O136" s="6" t="str">
        <f>IF(OR(OR(UPPER(IFERROR(VLOOKUP($B136,'Base de datos'!$A$3:$K$24,11,FALSE),""))="NO",ISNUMBER(SEARCH("no sometida",IFERROR(VLOOKUP($B136,'Base de datos'!$A$3:$K$24,10,FALSE),""))),ISNUMBER(SEARCH("no fiscal",IFERROR(VLOOKUP($B136,'Base de datos'!$A$3:$K$24,10,FALSE),"")))),OR(ISNUMBER(SEARCH("Hach",$B136)),ISNUMBER(SEARCH("Ketamina",$B136))),AND(IFERROR(VLOOKUP($B136,'Base de datos'!$A$3:$K$24,9,FALSE),"")&lt;&gt;"",IFERROR(VLOOKUP($B136,'Base de datos'!$A$3:$K$24,9,FALSE),"")&lt;&gt;0)),"",IFERROR((($E136*$C136/IFERROR(VLOOKUP($B136,'Base de datos'!$A$3:$K$24,3,FALSE),0))*1000)/IFERROR(VLOOKUP($B136,'Base de datos'!$A$3:$K$24,2,FALSE),0),""))</f>
        <v/>
      </c>
    </row>
    <row r="137" spans="1:15" x14ac:dyDescent="0.25">
      <c r="A137" s="4"/>
      <c r="B137" s="4"/>
      <c r="C137" s="5" t="str">
        <f>IFERROR(VLOOKUP($B137,'Base de datos'!$A$3:$K$24,3,FALSE),"")</f>
        <v/>
      </c>
      <c r="D137" s="4" t="str">
        <f t="shared" si="4"/>
        <v/>
      </c>
      <c r="E137" s="6"/>
      <c r="F137" s="7" t="str">
        <f>IF($B137="","",IF(OR(UPPER(IFERROR(VLOOKUP($B137,'Base de datos'!$A$3:$K$24,11,FALSE),""))="NO",ISNUMBER(SEARCH("no sometida",IFERROR(VLOOKUP($B137,'Base de datos'!$A$3:$K$24,10,FALSE),""))),ISNUMBER(SEARCH("no fiscal",IFERROR(VLOOKUP($B137,'Base de datos'!$A$3:$K$24,10,FALSE),"")))),"",IF(OR(OR(ISNUMBER(SEARCH("Hach",$B137)),ISNUMBER(SEARCH("Ketamina",$B137))),AND(IFERROR(VLOOKUP($B137,'Base de datos'!$A$3:$K$24,9,FALSE),"")&lt;&gt;"",IFERROR(VLOOKUP($B137,'Base de datos'!$A$3:$K$24,9,FALSE),"")&lt;&gt;0)),"",IFERROR($M137*VLOOKUP($B137,'Base de datos'!$A$3:$K$24,8,FALSE)/1000,""))))</f>
        <v/>
      </c>
      <c r="G137" s="7" t="str">
        <f>IF($B137="","",IF(OR(UPPER(IFERROR(VLOOKUP($B137,'Base de datos'!$A$3:$K$24,11,FALSE),""))="NO",ISNUMBER(SEARCH("no sometida",IFERROR(VLOOKUP($B137,'Base de datos'!$A$3:$K$24,10,FALSE),""))),ISNUMBER(SEARCH("no fiscal",IFERROR(VLOOKUP($B137,'Base de datos'!$A$3:$K$24,10,FALSE),"")))),"",IFERROR(IF(OR(ISNUMBER(SEARCH("Hach",$B137)),ISNUMBER(SEARCH("Ketamina",$B137))),IF(VLOOKUP($B137,'Base de datos'!$A$3:$K$24,6,FALSE)="","",$E137*VLOOKUP($B137,'Base de datos'!$A$3:$K$24,6,FALSE)),IF(AND(IFERROR(VLOOKUP($B137,'Base de datos'!$A$3:$K$24,9,FALSE),"")&lt;&gt;"",IFERROR(VLOOKUP($B137,'Base de datos'!$A$3:$K$24,9,FALSE),"")&lt;&gt;0),"",IF(VLOOKUP($B137,'Base de datos'!$A$3:$K$24,6,FALSE)="","",$N137*VLOOKUP($B137,'Base de datos'!$A$3:$K$24,6,FALSE)))),"")))</f>
        <v/>
      </c>
      <c r="H137" s="7" t="str">
        <f>IF($B137="","",IF(OR(UPPER(IFERROR(VLOOKUP($B137,'Base de datos'!$A$3:$K$24,11,FALSE),""))="NO",ISNUMBER(SEARCH("no sometida",IFERROR(VLOOKUP($B137,'Base de datos'!$A$3:$K$24,10,FALSE),""))),ISNUMBER(SEARCH("no fiscal",IFERROR(VLOOKUP($B137,'Base de datos'!$A$3:$K$24,10,FALSE),"")))),"",IF(OR(ISNUMBER(SEARCH("Hach",$B137)),ISNUMBER(SEARCH("Ketamina",$B137))),"",IF(AND(IFERROR(VLOOKUP($B137,'Base de datos'!$A$3:$K$24,9,FALSE),"")&lt;&gt;"",IFERROR(VLOOKUP($B137,'Base de datos'!$A$3:$K$24,9,FALSE),"")&lt;&gt;0),$E137*IFERROR(VLOOKUP($B137,'Base de datos'!$A$3:$K$24,9,FALSE),""),IFERROR($O137*VLOOKUP($B137,'Base de datos'!$A$3:$K$24,4,FALSE),"")))))</f>
        <v/>
      </c>
      <c r="I137" s="5" t="str">
        <f>IFERROR(VLOOKUP($B137,'Base de datos'!$A$3:$K$24,7,FALSE),"")</f>
        <v/>
      </c>
      <c r="J137" s="13" t="str">
        <f>IFERROR(VLOOKUP($B137,'Base de datos'!$A$3:$K$24,10,FALSE),"")</f>
        <v/>
      </c>
      <c r="K137" s="6"/>
      <c r="L137" s="4"/>
      <c r="M137" s="6" t="str">
        <f>IF(OR(OR(UPPER(IFERROR(VLOOKUP($B137,'Base de datos'!$A$3:$K$24,11,FALSE),""))="NO",ISNUMBER(SEARCH("no sometida",IFERROR(VLOOKUP($B137,'Base de datos'!$A$3:$K$24,10,FALSE),""))),ISNUMBER(SEARCH("no fiscal",IFERROR(VLOOKUP($B137,'Base de datos'!$A$3:$K$24,10,FALSE),"")))),OR(ISNUMBER(SEARCH("Hach",$B137)),ISNUMBER(SEARCH("Ketamina",$B137))),AND(IFERROR(VLOOKUP($B137,'Base de datos'!$A$3:$K$24,9,FALSE),"")&lt;&gt;"",IFERROR(VLOOKUP($B137,'Base de datos'!$A$3:$K$24,9,FALSE),"")&lt;&gt;0)),"",IFERROR($E137*$C137/$I137,""))</f>
        <v/>
      </c>
      <c r="N137" s="6" t="str">
        <f>IF(OR(OR(UPPER(IFERROR(VLOOKUP($B137,'Base de datos'!$A$3:$K$24,11,FALSE),""))="NO",ISNUMBER(SEARCH("no sometida",IFERROR(VLOOKUP($B137,'Base de datos'!$A$3:$K$24,10,FALSE),""))),ISNUMBER(SEARCH("no fiscal",IFERROR(VLOOKUP($B137,'Base de datos'!$A$3:$K$24,10,FALSE),"")))),OR(ISNUMBER(SEARCH("Hach",$B137)),ISNUMBER(SEARCH("Ketamina",$B137))),AND(IFERROR(VLOOKUP($B137,'Base de datos'!$A$3:$K$24,9,FALSE),"")&lt;&gt;"",IFERROR(VLOOKUP($B137,'Base de datos'!$A$3:$K$24,9,FALSE),"")&lt;&gt;0)),"",IFERROR($E137*$C137/IFERROR(VLOOKUP($B137,'Base de datos'!$A$3:$K$24,5,FALSE),0),""))</f>
        <v/>
      </c>
      <c r="O137" s="6" t="str">
        <f>IF(OR(OR(UPPER(IFERROR(VLOOKUP($B137,'Base de datos'!$A$3:$K$24,11,FALSE),""))="NO",ISNUMBER(SEARCH("no sometida",IFERROR(VLOOKUP($B137,'Base de datos'!$A$3:$K$24,10,FALSE),""))),ISNUMBER(SEARCH("no fiscal",IFERROR(VLOOKUP($B137,'Base de datos'!$A$3:$K$24,10,FALSE),"")))),OR(ISNUMBER(SEARCH("Hach",$B137)),ISNUMBER(SEARCH("Ketamina",$B137))),AND(IFERROR(VLOOKUP($B137,'Base de datos'!$A$3:$K$24,9,FALSE),"")&lt;&gt;"",IFERROR(VLOOKUP($B137,'Base de datos'!$A$3:$K$24,9,FALSE),"")&lt;&gt;0)),"",IFERROR((($E137*$C137/IFERROR(VLOOKUP($B137,'Base de datos'!$A$3:$K$24,3,FALSE),0))*1000)/IFERROR(VLOOKUP($B137,'Base de datos'!$A$3:$K$24,2,FALSE),0),""))</f>
        <v/>
      </c>
    </row>
    <row r="138" spans="1:15" x14ac:dyDescent="0.25">
      <c r="A138" s="4"/>
      <c r="B138" s="4"/>
      <c r="C138" s="5" t="str">
        <f>IFERROR(VLOOKUP($B138,'Base de datos'!$A$3:$K$24,3,FALSE),"")</f>
        <v/>
      </c>
      <c r="D138" s="4" t="str">
        <f t="shared" si="4"/>
        <v/>
      </c>
      <c r="E138" s="6"/>
      <c r="F138" s="7" t="str">
        <f>IF($B138="","",IF(OR(UPPER(IFERROR(VLOOKUP($B138,'Base de datos'!$A$3:$K$24,11,FALSE),""))="NO",ISNUMBER(SEARCH("no sometida",IFERROR(VLOOKUP($B138,'Base de datos'!$A$3:$K$24,10,FALSE),""))),ISNUMBER(SEARCH("no fiscal",IFERROR(VLOOKUP($B138,'Base de datos'!$A$3:$K$24,10,FALSE),"")))),"",IF(OR(OR(ISNUMBER(SEARCH("Hach",$B138)),ISNUMBER(SEARCH("Ketamina",$B138))),AND(IFERROR(VLOOKUP($B138,'Base de datos'!$A$3:$K$24,9,FALSE),"")&lt;&gt;"",IFERROR(VLOOKUP($B138,'Base de datos'!$A$3:$K$24,9,FALSE),"")&lt;&gt;0)),"",IFERROR($M138*VLOOKUP($B138,'Base de datos'!$A$3:$K$24,8,FALSE)/1000,""))))</f>
        <v/>
      </c>
      <c r="G138" s="7" t="str">
        <f>IF($B138="","",IF(OR(UPPER(IFERROR(VLOOKUP($B138,'Base de datos'!$A$3:$K$24,11,FALSE),""))="NO",ISNUMBER(SEARCH("no sometida",IFERROR(VLOOKUP($B138,'Base de datos'!$A$3:$K$24,10,FALSE),""))),ISNUMBER(SEARCH("no fiscal",IFERROR(VLOOKUP($B138,'Base de datos'!$A$3:$K$24,10,FALSE),"")))),"",IFERROR(IF(OR(ISNUMBER(SEARCH("Hach",$B138)),ISNUMBER(SEARCH("Ketamina",$B138))),IF(VLOOKUP($B138,'Base de datos'!$A$3:$K$24,6,FALSE)="","",$E138*VLOOKUP($B138,'Base de datos'!$A$3:$K$24,6,FALSE)),IF(AND(IFERROR(VLOOKUP($B138,'Base de datos'!$A$3:$K$24,9,FALSE),"")&lt;&gt;"",IFERROR(VLOOKUP($B138,'Base de datos'!$A$3:$K$24,9,FALSE),"")&lt;&gt;0),"",IF(VLOOKUP($B138,'Base de datos'!$A$3:$K$24,6,FALSE)="","",$N138*VLOOKUP($B138,'Base de datos'!$A$3:$K$24,6,FALSE)))),"")))</f>
        <v/>
      </c>
      <c r="H138" s="7" t="str">
        <f>IF($B138="","",IF(OR(UPPER(IFERROR(VLOOKUP($B138,'Base de datos'!$A$3:$K$24,11,FALSE),""))="NO",ISNUMBER(SEARCH("no sometida",IFERROR(VLOOKUP($B138,'Base de datos'!$A$3:$K$24,10,FALSE),""))),ISNUMBER(SEARCH("no fiscal",IFERROR(VLOOKUP($B138,'Base de datos'!$A$3:$K$24,10,FALSE),"")))),"",IF(OR(ISNUMBER(SEARCH("Hach",$B138)),ISNUMBER(SEARCH("Ketamina",$B138))),"",IF(AND(IFERROR(VLOOKUP($B138,'Base de datos'!$A$3:$K$24,9,FALSE),"")&lt;&gt;"",IFERROR(VLOOKUP($B138,'Base de datos'!$A$3:$K$24,9,FALSE),"")&lt;&gt;0),$E138*IFERROR(VLOOKUP($B138,'Base de datos'!$A$3:$K$24,9,FALSE),""),IFERROR($O138*VLOOKUP($B138,'Base de datos'!$A$3:$K$24,4,FALSE),"")))))</f>
        <v/>
      </c>
      <c r="I138" s="5" t="str">
        <f>IFERROR(VLOOKUP($B138,'Base de datos'!$A$3:$K$24,7,FALSE),"")</f>
        <v/>
      </c>
      <c r="J138" s="13" t="str">
        <f>IFERROR(VLOOKUP($B138,'Base de datos'!$A$3:$K$24,10,FALSE),"")</f>
        <v/>
      </c>
      <c r="K138" s="6"/>
      <c r="L138" s="4"/>
      <c r="M138" s="6" t="str">
        <f>IF(OR(OR(UPPER(IFERROR(VLOOKUP($B138,'Base de datos'!$A$3:$K$24,11,FALSE),""))="NO",ISNUMBER(SEARCH("no sometida",IFERROR(VLOOKUP($B138,'Base de datos'!$A$3:$K$24,10,FALSE),""))),ISNUMBER(SEARCH("no fiscal",IFERROR(VLOOKUP($B138,'Base de datos'!$A$3:$K$24,10,FALSE),"")))),OR(ISNUMBER(SEARCH("Hach",$B138)),ISNUMBER(SEARCH("Ketamina",$B138))),AND(IFERROR(VLOOKUP($B138,'Base de datos'!$A$3:$K$24,9,FALSE),"")&lt;&gt;"",IFERROR(VLOOKUP($B138,'Base de datos'!$A$3:$K$24,9,FALSE),"")&lt;&gt;0)),"",IFERROR($E138*$C138/$I138,""))</f>
        <v/>
      </c>
      <c r="N138" s="6" t="str">
        <f>IF(OR(OR(UPPER(IFERROR(VLOOKUP($B138,'Base de datos'!$A$3:$K$24,11,FALSE),""))="NO",ISNUMBER(SEARCH("no sometida",IFERROR(VLOOKUP($B138,'Base de datos'!$A$3:$K$24,10,FALSE),""))),ISNUMBER(SEARCH("no fiscal",IFERROR(VLOOKUP($B138,'Base de datos'!$A$3:$K$24,10,FALSE),"")))),OR(ISNUMBER(SEARCH("Hach",$B138)),ISNUMBER(SEARCH("Ketamina",$B138))),AND(IFERROR(VLOOKUP($B138,'Base de datos'!$A$3:$K$24,9,FALSE),"")&lt;&gt;"",IFERROR(VLOOKUP($B138,'Base de datos'!$A$3:$K$24,9,FALSE),"")&lt;&gt;0)),"",IFERROR($E138*$C138/IFERROR(VLOOKUP($B138,'Base de datos'!$A$3:$K$24,5,FALSE),0),""))</f>
        <v/>
      </c>
      <c r="O138" s="6" t="str">
        <f>IF(OR(OR(UPPER(IFERROR(VLOOKUP($B138,'Base de datos'!$A$3:$K$24,11,FALSE),""))="NO",ISNUMBER(SEARCH("no sometida",IFERROR(VLOOKUP($B138,'Base de datos'!$A$3:$K$24,10,FALSE),""))),ISNUMBER(SEARCH("no fiscal",IFERROR(VLOOKUP($B138,'Base de datos'!$A$3:$K$24,10,FALSE),"")))),OR(ISNUMBER(SEARCH("Hach",$B138)),ISNUMBER(SEARCH("Ketamina",$B138))),AND(IFERROR(VLOOKUP($B138,'Base de datos'!$A$3:$K$24,9,FALSE),"")&lt;&gt;"",IFERROR(VLOOKUP($B138,'Base de datos'!$A$3:$K$24,9,FALSE),"")&lt;&gt;0)),"",IFERROR((($E138*$C138/IFERROR(VLOOKUP($B138,'Base de datos'!$A$3:$K$24,3,FALSE),0))*1000)/IFERROR(VLOOKUP($B138,'Base de datos'!$A$3:$K$24,2,FALSE),0),""))</f>
        <v/>
      </c>
    </row>
    <row r="139" spans="1:15" x14ac:dyDescent="0.25">
      <c r="A139" s="4"/>
      <c r="B139" s="4"/>
      <c r="C139" s="5" t="str">
        <f>IFERROR(VLOOKUP($B139,'Base de datos'!$A$3:$K$24,3,FALSE),"")</f>
        <v/>
      </c>
      <c r="D139" s="4" t="str">
        <f t="shared" si="4"/>
        <v/>
      </c>
      <c r="E139" s="6"/>
      <c r="F139" s="7" t="str">
        <f>IF($B139="","",IF(OR(UPPER(IFERROR(VLOOKUP($B139,'Base de datos'!$A$3:$K$24,11,FALSE),""))="NO",ISNUMBER(SEARCH("no sometida",IFERROR(VLOOKUP($B139,'Base de datos'!$A$3:$K$24,10,FALSE),""))),ISNUMBER(SEARCH("no fiscal",IFERROR(VLOOKUP($B139,'Base de datos'!$A$3:$K$24,10,FALSE),"")))),"",IF(OR(OR(ISNUMBER(SEARCH("Hach",$B139)),ISNUMBER(SEARCH("Ketamina",$B139))),AND(IFERROR(VLOOKUP($B139,'Base de datos'!$A$3:$K$24,9,FALSE),"")&lt;&gt;"",IFERROR(VLOOKUP($B139,'Base de datos'!$A$3:$K$24,9,FALSE),"")&lt;&gt;0)),"",IFERROR($M139*VLOOKUP($B139,'Base de datos'!$A$3:$K$24,8,FALSE)/1000,""))))</f>
        <v/>
      </c>
      <c r="G139" s="7" t="str">
        <f>IF($B139="","",IF(OR(UPPER(IFERROR(VLOOKUP($B139,'Base de datos'!$A$3:$K$24,11,FALSE),""))="NO",ISNUMBER(SEARCH("no sometida",IFERROR(VLOOKUP($B139,'Base de datos'!$A$3:$K$24,10,FALSE),""))),ISNUMBER(SEARCH("no fiscal",IFERROR(VLOOKUP($B139,'Base de datos'!$A$3:$K$24,10,FALSE),"")))),"",IFERROR(IF(OR(ISNUMBER(SEARCH("Hach",$B139)),ISNUMBER(SEARCH("Ketamina",$B139))),IF(VLOOKUP($B139,'Base de datos'!$A$3:$K$24,6,FALSE)="","",$E139*VLOOKUP($B139,'Base de datos'!$A$3:$K$24,6,FALSE)),IF(AND(IFERROR(VLOOKUP($B139,'Base de datos'!$A$3:$K$24,9,FALSE),"")&lt;&gt;"",IFERROR(VLOOKUP($B139,'Base de datos'!$A$3:$K$24,9,FALSE),"")&lt;&gt;0),"",IF(VLOOKUP($B139,'Base de datos'!$A$3:$K$24,6,FALSE)="","",$N139*VLOOKUP($B139,'Base de datos'!$A$3:$K$24,6,FALSE)))),"")))</f>
        <v/>
      </c>
      <c r="H139" s="7" t="str">
        <f>IF($B139="","",IF(OR(UPPER(IFERROR(VLOOKUP($B139,'Base de datos'!$A$3:$K$24,11,FALSE),""))="NO",ISNUMBER(SEARCH("no sometida",IFERROR(VLOOKUP($B139,'Base de datos'!$A$3:$K$24,10,FALSE),""))),ISNUMBER(SEARCH("no fiscal",IFERROR(VLOOKUP($B139,'Base de datos'!$A$3:$K$24,10,FALSE),"")))),"",IF(OR(ISNUMBER(SEARCH("Hach",$B139)),ISNUMBER(SEARCH("Ketamina",$B139))),"",IF(AND(IFERROR(VLOOKUP($B139,'Base de datos'!$A$3:$K$24,9,FALSE),"")&lt;&gt;"",IFERROR(VLOOKUP($B139,'Base de datos'!$A$3:$K$24,9,FALSE),"")&lt;&gt;0),$E139*IFERROR(VLOOKUP($B139,'Base de datos'!$A$3:$K$24,9,FALSE),""),IFERROR($O139*VLOOKUP($B139,'Base de datos'!$A$3:$K$24,4,FALSE),"")))))</f>
        <v/>
      </c>
      <c r="I139" s="5" t="str">
        <f>IFERROR(VLOOKUP($B139,'Base de datos'!$A$3:$K$24,7,FALSE),"")</f>
        <v/>
      </c>
      <c r="J139" s="13" t="str">
        <f>IFERROR(VLOOKUP($B139,'Base de datos'!$A$3:$K$24,10,FALSE),"")</f>
        <v/>
      </c>
      <c r="K139" s="6"/>
      <c r="L139" s="4"/>
      <c r="M139" s="6" t="str">
        <f>IF(OR(OR(UPPER(IFERROR(VLOOKUP($B139,'Base de datos'!$A$3:$K$24,11,FALSE),""))="NO",ISNUMBER(SEARCH("no sometida",IFERROR(VLOOKUP($B139,'Base de datos'!$A$3:$K$24,10,FALSE),""))),ISNUMBER(SEARCH("no fiscal",IFERROR(VLOOKUP($B139,'Base de datos'!$A$3:$K$24,10,FALSE),"")))),OR(ISNUMBER(SEARCH("Hach",$B139)),ISNUMBER(SEARCH("Ketamina",$B139))),AND(IFERROR(VLOOKUP($B139,'Base de datos'!$A$3:$K$24,9,FALSE),"")&lt;&gt;"",IFERROR(VLOOKUP($B139,'Base de datos'!$A$3:$K$24,9,FALSE),"")&lt;&gt;0)),"",IFERROR($E139*$C139/$I139,""))</f>
        <v/>
      </c>
      <c r="N139" s="6" t="str">
        <f>IF(OR(OR(UPPER(IFERROR(VLOOKUP($B139,'Base de datos'!$A$3:$K$24,11,FALSE),""))="NO",ISNUMBER(SEARCH("no sometida",IFERROR(VLOOKUP($B139,'Base de datos'!$A$3:$K$24,10,FALSE),""))),ISNUMBER(SEARCH("no fiscal",IFERROR(VLOOKUP($B139,'Base de datos'!$A$3:$K$24,10,FALSE),"")))),OR(ISNUMBER(SEARCH("Hach",$B139)),ISNUMBER(SEARCH("Ketamina",$B139))),AND(IFERROR(VLOOKUP($B139,'Base de datos'!$A$3:$K$24,9,FALSE),"")&lt;&gt;"",IFERROR(VLOOKUP($B139,'Base de datos'!$A$3:$K$24,9,FALSE),"")&lt;&gt;0)),"",IFERROR($E139*$C139/IFERROR(VLOOKUP($B139,'Base de datos'!$A$3:$K$24,5,FALSE),0),""))</f>
        <v/>
      </c>
      <c r="O139" s="6" t="str">
        <f>IF(OR(OR(UPPER(IFERROR(VLOOKUP($B139,'Base de datos'!$A$3:$K$24,11,FALSE),""))="NO",ISNUMBER(SEARCH("no sometida",IFERROR(VLOOKUP($B139,'Base de datos'!$A$3:$K$24,10,FALSE),""))),ISNUMBER(SEARCH("no fiscal",IFERROR(VLOOKUP($B139,'Base de datos'!$A$3:$K$24,10,FALSE),"")))),OR(ISNUMBER(SEARCH("Hach",$B139)),ISNUMBER(SEARCH("Ketamina",$B139))),AND(IFERROR(VLOOKUP($B139,'Base de datos'!$A$3:$K$24,9,FALSE),"")&lt;&gt;"",IFERROR(VLOOKUP($B139,'Base de datos'!$A$3:$K$24,9,FALSE),"")&lt;&gt;0)),"",IFERROR((($E139*$C139/IFERROR(VLOOKUP($B139,'Base de datos'!$A$3:$K$24,3,FALSE),0))*1000)/IFERROR(VLOOKUP($B139,'Base de datos'!$A$3:$K$24,2,FALSE),0),""))</f>
        <v/>
      </c>
    </row>
    <row r="140" spans="1:15" x14ac:dyDescent="0.25">
      <c r="A140" s="4"/>
      <c r="B140" s="4"/>
      <c r="C140" s="5" t="str">
        <f>IFERROR(VLOOKUP($B140,'Base de datos'!$A$3:$K$24,3,FALSE),"")</f>
        <v/>
      </c>
      <c r="D140" s="4" t="str">
        <f t="shared" si="4"/>
        <v/>
      </c>
      <c r="E140" s="6"/>
      <c r="F140" s="7" t="str">
        <f>IF($B140="","",IF(OR(UPPER(IFERROR(VLOOKUP($B140,'Base de datos'!$A$3:$K$24,11,FALSE),""))="NO",ISNUMBER(SEARCH("no sometida",IFERROR(VLOOKUP($B140,'Base de datos'!$A$3:$K$24,10,FALSE),""))),ISNUMBER(SEARCH("no fiscal",IFERROR(VLOOKUP($B140,'Base de datos'!$A$3:$K$24,10,FALSE),"")))),"",IF(OR(OR(ISNUMBER(SEARCH("Hach",$B140)),ISNUMBER(SEARCH("Ketamina",$B140))),AND(IFERROR(VLOOKUP($B140,'Base de datos'!$A$3:$K$24,9,FALSE),"")&lt;&gt;"",IFERROR(VLOOKUP($B140,'Base de datos'!$A$3:$K$24,9,FALSE),"")&lt;&gt;0)),"",IFERROR($M140*VLOOKUP($B140,'Base de datos'!$A$3:$K$24,8,FALSE)/1000,""))))</f>
        <v/>
      </c>
      <c r="G140" s="7" t="str">
        <f>IF($B140="","",IF(OR(UPPER(IFERROR(VLOOKUP($B140,'Base de datos'!$A$3:$K$24,11,FALSE),""))="NO",ISNUMBER(SEARCH("no sometida",IFERROR(VLOOKUP($B140,'Base de datos'!$A$3:$K$24,10,FALSE),""))),ISNUMBER(SEARCH("no fiscal",IFERROR(VLOOKUP($B140,'Base de datos'!$A$3:$K$24,10,FALSE),"")))),"",IFERROR(IF(OR(ISNUMBER(SEARCH("Hach",$B140)),ISNUMBER(SEARCH("Ketamina",$B140))),IF(VLOOKUP($B140,'Base de datos'!$A$3:$K$24,6,FALSE)="","",$E140*VLOOKUP($B140,'Base de datos'!$A$3:$K$24,6,FALSE)),IF(AND(IFERROR(VLOOKUP($B140,'Base de datos'!$A$3:$K$24,9,FALSE),"")&lt;&gt;"",IFERROR(VLOOKUP($B140,'Base de datos'!$A$3:$K$24,9,FALSE),"")&lt;&gt;0),"",IF(VLOOKUP($B140,'Base de datos'!$A$3:$K$24,6,FALSE)="","",$N140*VLOOKUP($B140,'Base de datos'!$A$3:$K$24,6,FALSE)))),"")))</f>
        <v/>
      </c>
      <c r="H140" s="7" t="str">
        <f>IF($B140="","",IF(OR(UPPER(IFERROR(VLOOKUP($B140,'Base de datos'!$A$3:$K$24,11,FALSE),""))="NO",ISNUMBER(SEARCH("no sometida",IFERROR(VLOOKUP($B140,'Base de datos'!$A$3:$K$24,10,FALSE),""))),ISNUMBER(SEARCH("no fiscal",IFERROR(VLOOKUP($B140,'Base de datos'!$A$3:$K$24,10,FALSE),"")))),"",IF(OR(ISNUMBER(SEARCH("Hach",$B140)),ISNUMBER(SEARCH("Ketamina",$B140))),"",IF(AND(IFERROR(VLOOKUP($B140,'Base de datos'!$A$3:$K$24,9,FALSE),"")&lt;&gt;"",IFERROR(VLOOKUP($B140,'Base de datos'!$A$3:$K$24,9,FALSE),"")&lt;&gt;0),$E140*IFERROR(VLOOKUP($B140,'Base de datos'!$A$3:$K$24,9,FALSE),""),IFERROR($O140*VLOOKUP($B140,'Base de datos'!$A$3:$K$24,4,FALSE),"")))))</f>
        <v/>
      </c>
      <c r="I140" s="5" t="str">
        <f>IFERROR(VLOOKUP($B140,'Base de datos'!$A$3:$K$24,7,FALSE),"")</f>
        <v/>
      </c>
      <c r="J140" s="13" t="str">
        <f>IFERROR(VLOOKUP($B140,'Base de datos'!$A$3:$K$24,10,FALSE),"")</f>
        <v/>
      </c>
      <c r="K140" s="6"/>
      <c r="L140" s="4"/>
      <c r="M140" s="6" t="str">
        <f>IF(OR(OR(UPPER(IFERROR(VLOOKUP($B140,'Base de datos'!$A$3:$K$24,11,FALSE),""))="NO",ISNUMBER(SEARCH("no sometida",IFERROR(VLOOKUP($B140,'Base de datos'!$A$3:$K$24,10,FALSE),""))),ISNUMBER(SEARCH("no fiscal",IFERROR(VLOOKUP($B140,'Base de datos'!$A$3:$K$24,10,FALSE),"")))),OR(ISNUMBER(SEARCH("Hach",$B140)),ISNUMBER(SEARCH("Ketamina",$B140))),AND(IFERROR(VLOOKUP($B140,'Base de datos'!$A$3:$K$24,9,FALSE),"")&lt;&gt;"",IFERROR(VLOOKUP($B140,'Base de datos'!$A$3:$K$24,9,FALSE),"")&lt;&gt;0)),"",IFERROR($E140*$C140/$I140,""))</f>
        <v/>
      </c>
      <c r="N140" s="6" t="str">
        <f>IF(OR(OR(UPPER(IFERROR(VLOOKUP($B140,'Base de datos'!$A$3:$K$24,11,FALSE),""))="NO",ISNUMBER(SEARCH("no sometida",IFERROR(VLOOKUP($B140,'Base de datos'!$A$3:$K$24,10,FALSE),""))),ISNUMBER(SEARCH("no fiscal",IFERROR(VLOOKUP($B140,'Base de datos'!$A$3:$K$24,10,FALSE),"")))),OR(ISNUMBER(SEARCH("Hach",$B140)),ISNUMBER(SEARCH("Ketamina",$B140))),AND(IFERROR(VLOOKUP($B140,'Base de datos'!$A$3:$K$24,9,FALSE),"")&lt;&gt;"",IFERROR(VLOOKUP($B140,'Base de datos'!$A$3:$K$24,9,FALSE),"")&lt;&gt;0)),"",IFERROR($E140*$C140/IFERROR(VLOOKUP($B140,'Base de datos'!$A$3:$K$24,5,FALSE),0),""))</f>
        <v/>
      </c>
      <c r="O140" s="6" t="str">
        <f>IF(OR(OR(UPPER(IFERROR(VLOOKUP($B140,'Base de datos'!$A$3:$K$24,11,FALSE),""))="NO",ISNUMBER(SEARCH("no sometida",IFERROR(VLOOKUP($B140,'Base de datos'!$A$3:$K$24,10,FALSE),""))),ISNUMBER(SEARCH("no fiscal",IFERROR(VLOOKUP($B140,'Base de datos'!$A$3:$K$24,10,FALSE),"")))),OR(ISNUMBER(SEARCH("Hach",$B140)),ISNUMBER(SEARCH("Ketamina",$B140))),AND(IFERROR(VLOOKUP($B140,'Base de datos'!$A$3:$K$24,9,FALSE),"")&lt;&gt;"",IFERROR(VLOOKUP($B140,'Base de datos'!$A$3:$K$24,9,FALSE),"")&lt;&gt;0)),"",IFERROR((($E140*$C140/IFERROR(VLOOKUP($B140,'Base de datos'!$A$3:$K$24,3,FALSE),0))*1000)/IFERROR(VLOOKUP($B140,'Base de datos'!$A$3:$K$24,2,FALSE),0),""))</f>
        <v/>
      </c>
    </row>
    <row r="141" spans="1:15" x14ac:dyDescent="0.25">
      <c r="A141" s="4"/>
      <c r="B141" s="4"/>
      <c r="C141" s="5" t="str">
        <f>IFERROR(VLOOKUP($B141,'Base de datos'!$A$3:$K$24,3,FALSE),"")</f>
        <v/>
      </c>
      <c r="D141" s="4" t="str">
        <f t="shared" si="4"/>
        <v/>
      </c>
      <c r="E141" s="6"/>
      <c r="F141" s="7" t="str">
        <f>IF($B141="","",IF(OR(UPPER(IFERROR(VLOOKUP($B141,'Base de datos'!$A$3:$K$24,11,FALSE),""))="NO",ISNUMBER(SEARCH("no sometida",IFERROR(VLOOKUP($B141,'Base de datos'!$A$3:$K$24,10,FALSE),""))),ISNUMBER(SEARCH("no fiscal",IFERROR(VLOOKUP($B141,'Base de datos'!$A$3:$K$24,10,FALSE),"")))),"",IF(OR(OR(ISNUMBER(SEARCH("Hach",$B141)),ISNUMBER(SEARCH("Ketamina",$B141))),AND(IFERROR(VLOOKUP($B141,'Base de datos'!$A$3:$K$24,9,FALSE),"")&lt;&gt;"",IFERROR(VLOOKUP($B141,'Base de datos'!$A$3:$K$24,9,FALSE),"")&lt;&gt;0)),"",IFERROR($M141*VLOOKUP($B141,'Base de datos'!$A$3:$K$24,8,FALSE)/1000,""))))</f>
        <v/>
      </c>
      <c r="G141" s="7" t="str">
        <f>IF($B141="","",IF(OR(UPPER(IFERROR(VLOOKUP($B141,'Base de datos'!$A$3:$K$24,11,FALSE),""))="NO",ISNUMBER(SEARCH("no sometida",IFERROR(VLOOKUP($B141,'Base de datos'!$A$3:$K$24,10,FALSE),""))),ISNUMBER(SEARCH("no fiscal",IFERROR(VLOOKUP($B141,'Base de datos'!$A$3:$K$24,10,FALSE),"")))),"",IFERROR(IF(OR(ISNUMBER(SEARCH("Hach",$B141)),ISNUMBER(SEARCH("Ketamina",$B141))),IF(VLOOKUP($B141,'Base de datos'!$A$3:$K$24,6,FALSE)="","",$E141*VLOOKUP($B141,'Base de datos'!$A$3:$K$24,6,FALSE)),IF(AND(IFERROR(VLOOKUP($B141,'Base de datos'!$A$3:$K$24,9,FALSE),"")&lt;&gt;"",IFERROR(VLOOKUP($B141,'Base de datos'!$A$3:$K$24,9,FALSE),"")&lt;&gt;0),"",IF(VLOOKUP($B141,'Base de datos'!$A$3:$K$24,6,FALSE)="","",$N141*VLOOKUP($B141,'Base de datos'!$A$3:$K$24,6,FALSE)))),"")))</f>
        <v/>
      </c>
      <c r="H141" s="7" t="str">
        <f>IF($B141="","",IF(OR(UPPER(IFERROR(VLOOKUP($B141,'Base de datos'!$A$3:$K$24,11,FALSE),""))="NO",ISNUMBER(SEARCH("no sometida",IFERROR(VLOOKUP($B141,'Base de datos'!$A$3:$K$24,10,FALSE),""))),ISNUMBER(SEARCH("no fiscal",IFERROR(VLOOKUP($B141,'Base de datos'!$A$3:$K$24,10,FALSE),"")))),"",IF(OR(ISNUMBER(SEARCH("Hach",$B141)),ISNUMBER(SEARCH("Ketamina",$B141))),"",IF(AND(IFERROR(VLOOKUP($B141,'Base de datos'!$A$3:$K$24,9,FALSE),"")&lt;&gt;"",IFERROR(VLOOKUP($B141,'Base de datos'!$A$3:$K$24,9,FALSE),"")&lt;&gt;0),$E141*IFERROR(VLOOKUP($B141,'Base de datos'!$A$3:$K$24,9,FALSE),""),IFERROR($O141*VLOOKUP($B141,'Base de datos'!$A$3:$K$24,4,FALSE),"")))))</f>
        <v/>
      </c>
      <c r="I141" s="5" t="str">
        <f>IFERROR(VLOOKUP($B141,'Base de datos'!$A$3:$K$24,7,FALSE),"")</f>
        <v/>
      </c>
      <c r="J141" s="13" t="str">
        <f>IFERROR(VLOOKUP($B141,'Base de datos'!$A$3:$K$24,10,FALSE),"")</f>
        <v/>
      </c>
      <c r="K141" s="6"/>
      <c r="L141" s="4"/>
      <c r="M141" s="6" t="str">
        <f>IF(OR(OR(UPPER(IFERROR(VLOOKUP($B141,'Base de datos'!$A$3:$K$24,11,FALSE),""))="NO",ISNUMBER(SEARCH("no sometida",IFERROR(VLOOKUP($B141,'Base de datos'!$A$3:$K$24,10,FALSE),""))),ISNUMBER(SEARCH("no fiscal",IFERROR(VLOOKUP($B141,'Base de datos'!$A$3:$K$24,10,FALSE),"")))),OR(ISNUMBER(SEARCH("Hach",$B141)),ISNUMBER(SEARCH("Ketamina",$B141))),AND(IFERROR(VLOOKUP($B141,'Base de datos'!$A$3:$K$24,9,FALSE),"")&lt;&gt;"",IFERROR(VLOOKUP($B141,'Base de datos'!$A$3:$K$24,9,FALSE),"")&lt;&gt;0)),"",IFERROR($E141*$C141/$I141,""))</f>
        <v/>
      </c>
      <c r="N141" s="6" t="str">
        <f>IF(OR(OR(UPPER(IFERROR(VLOOKUP($B141,'Base de datos'!$A$3:$K$24,11,FALSE),""))="NO",ISNUMBER(SEARCH("no sometida",IFERROR(VLOOKUP($B141,'Base de datos'!$A$3:$K$24,10,FALSE),""))),ISNUMBER(SEARCH("no fiscal",IFERROR(VLOOKUP($B141,'Base de datos'!$A$3:$K$24,10,FALSE),"")))),OR(ISNUMBER(SEARCH("Hach",$B141)),ISNUMBER(SEARCH("Ketamina",$B141))),AND(IFERROR(VLOOKUP($B141,'Base de datos'!$A$3:$K$24,9,FALSE),"")&lt;&gt;"",IFERROR(VLOOKUP($B141,'Base de datos'!$A$3:$K$24,9,FALSE),"")&lt;&gt;0)),"",IFERROR($E141*$C141/IFERROR(VLOOKUP($B141,'Base de datos'!$A$3:$K$24,5,FALSE),0),""))</f>
        <v/>
      </c>
      <c r="O141" s="6" t="str">
        <f>IF(OR(OR(UPPER(IFERROR(VLOOKUP($B141,'Base de datos'!$A$3:$K$24,11,FALSE),""))="NO",ISNUMBER(SEARCH("no sometida",IFERROR(VLOOKUP($B141,'Base de datos'!$A$3:$K$24,10,FALSE),""))),ISNUMBER(SEARCH("no fiscal",IFERROR(VLOOKUP($B141,'Base de datos'!$A$3:$K$24,10,FALSE),"")))),OR(ISNUMBER(SEARCH("Hach",$B141)),ISNUMBER(SEARCH("Ketamina",$B141))),AND(IFERROR(VLOOKUP($B141,'Base de datos'!$A$3:$K$24,9,FALSE),"")&lt;&gt;"",IFERROR(VLOOKUP($B141,'Base de datos'!$A$3:$K$24,9,FALSE),"")&lt;&gt;0)),"",IFERROR((($E141*$C141/IFERROR(VLOOKUP($B141,'Base de datos'!$A$3:$K$24,3,FALSE),0))*1000)/IFERROR(VLOOKUP($B141,'Base de datos'!$A$3:$K$24,2,FALSE),0),""))</f>
        <v/>
      </c>
    </row>
    <row r="142" spans="1:15" x14ac:dyDescent="0.25">
      <c r="A142" s="4"/>
      <c r="B142" s="4"/>
      <c r="C142" s="5" t="str">
        <f>IFERROR(VLOOKUP($B142,'Base de datos'!$A$3:$K$24,3,FALSE),"")</f>
        <v/>
      </c>
      <c r="D142" s="4" t="str">
        <f t="shared" si="4"/>
        <v/>
      </c>
      <c r="E142" s="6"/>
      <c r="F142" s="7" t="str">
        <f>IF($B142="","",IF(OR(UPPER(IFERROR(VLOOKUP($B142,'Base de datos'!$A$3:$K$24,11,FALSE),""))="NO",ISNUMBER(SEARCH("no sometida",IFERROR(VLOOKUP($B142,'Base de datos'!$A$3:$K$24,10,FALSE),""))),ISNUMBER(SEARCH("no fiscal",IFERROR(VLOOKUP($B142,'Base de datos'!$A$3:$K$24,10,FALSE),"")))),"",IF(OR(OR(ISNUMBER(SEARCH("Hach",$B142)),ISNUMBER(SEARCH("Ketamina",$B142))),AND(IFERROR(VLOOKUP($B142,'Base de datos'!$A$3:$K$24,9,FALSE),"")&lt;&gt;"",IFERROR(VLOOKUP($B142,'Base de datos'!$A$3:$K$24,9,FALSE),"")&lt;&gt;0)),"",IFERROR($M142*VLOOKUP($B142,'Base de datos'!$A$3:$K$24,8,FALSE)/1000,""))))</f>
        <v/>
      </c>
      <c r="G142" s="7" t="str">
        <f>IF($B142="","",IF(OR(UPPER(IFERROR(VLOOKUP($B142,'Base de datos'!$A$3:$K$24,11,FALSE),""))="NO",ISNUMBER(SEARCH("no sometida",IFERROR(VLOOKUP($B142,'Base de datos'!$A$3:$K$24,10,FALSE),""))),ISNUMBER(SEARCH("no fiscal",IFERROR(VLOOKUP($B142,'Base de datos'!$A$3:$K$24,10,FALSE),"")))),"",IFERROR(IF(OR(ISNUMBER(SEARCH("Hach",$B142)),ISNUMBER(SEARCH("Ketamina",$B142))),IF(VLOOKUP($B142,'Base de datos'!$A$3:$K$24,6,FALSE)="","",$E142*VLOOKUP($B142,'Base de datos'!$A$3:$K$24,6,FALSE)),IF(AND(IFERROR(VLOOKUP($B142,'Base de datos'!$A$3:$K$24,9,FALSE),"")&lt;&gt;"",IFERROR(VLOOKUP($B142,'Base de datos'!$A$3:$K$24,9,FALSE),"")&lt;&gt;0),"",IF(VLOOKUP($B142,'Base de datos'!$A$3:$K$24,6,FALSE)="","",$N142*VLOOKUP($B142,'Base de datos'!$A$3:$K$24,6,FALSE)))),"")))</f>
        <v/>
      </c>
      <c r="H142" s="7" t="str">
        <f>IF($B142="","",IF(OR(UPPER(IFERROR(VLOOKUP($B142,'Base de datos'!$A$3:$K$24,11,FALSE),""))="NO",ISNUMBER(SEARCH("no sometida",IFERROR(VLOOKUP($B142,'Base de datos'!$A$3:$K$24,10,FALSE),""))),ISNUMBER(SEARCH("no fiscal",IFERROR(VLOOKUP($B142,'Base de datos'!$A$3:$K$24,10,FALSE),"")))),"",IF(OR(ISNUMBER(SEARCH("Hach",$B142)),ISNUMBER(SEARCH("Ketamina",$B142))),"",IF(AND(IFERROR(VLOOKUP($B142,'Base de datos'!$A$3:$K$24,9,FALSE),"")&lt;&gt;"",IFERROR(VLOOKUP($B142,'Base de datos'!$A$3:$K$24,9,FALSE),"")&lt;&gt;0),$E142*IFERROR(VLOOKUP($B142,'Base de datos'!$A$3:$K$24,9,FALSE),""),IFERROR($O142*VLOOKUP($B142,'Base de datos'!$A$3:$K$24,4,FALSE),"")))))</f>
        <v/>
      </c>
      <c r="I142" s="5" t="str">
        <f>IFERROR(VLOOKUP($B142,'Base de datos'!$A$3:$K$24,7,FALSE),"")</f>
        <v/>
      </c>
      <c r="J142" s="13" t="str">
        <f>IFERROR(VLOOKUP($B142,'Base de datos'!$A$3:$K$24,10,FALSE),"")</f>
        <v/>
      </c>
      <c r="K142" s="6"/>
      <c r="L142" s="4"/>
      <c r="M142" s="6" t="str">
        <f>IF(OR(OR(UPPER(IFERROR(VLOOKUP($B142,'Base de datos'!$A$3:$K$24,11,FALSE),""))="NO",ISNUMBER(SEARCH("no sometida",IFERROR(VLOOKUP($B142,'Base de datos'!$A$3:$K$24,10,FALSE),""))),ISNUMBER(SEARCH("no fiscal",IFERROR(VLOOKUP($B142,'Base de datos'!$A$3:$K$24,10,FALSE),"")))),OR(ISNUMBER(SEARCH("Hach",$B142)),ISNUMBER(SEARCH("Ketamina",$B142))),AND(IFERROR(VLOOKUP($B142,'Base de datos'!$A$3:$K$24,9,FALSE),"")&lt;&gt;"",IFERROR(VLOOKUP($B142,'Base de datos'!$A$3:$K$24,9,FALSE),"")&lt;&gt;0)),"",IFERROR($E142*$C142/$I142,""))</f>
        <v/>
      </c>
      <c r="N142" s="6" t="str">
        <f>IF(OR(OR(UPPER(IFERROR(VLOOKUP($B142,'Base de datos'!$A$3:$K$24,11,FALSE),""))="NO",ISNUMBER(SEARCH("no sometida",IFERROR(VLOOKUP($B142,'Base de datos'!$A$3:$K$24,10,FALSE),""))),ISNUMBER(SEARCH("no fiscal",IFERROR(VLOOKUP($B142,'Base de datos'!$A$3:$K$24,10,FALSE),"")))),OR(ISNUMBER(SEARCH("Hach",$B142)),ISNUMBER(SEARCH("Ketamina",$B142))),AND(IFERROR(VLOOKUP($B142,'Base de datos'!$A$3:$K$24,9,FALSE),"")&lt;&gt;"",IFERROR(VLOOKUP($B142,'Base de datos'!$A$3:$K$24,9,FALSE),"")&lt;&gt;0)),"",IFERROR($E142*$C142/IFERROR(VLOOKUP($B142,'Base de datos'!$A$3:$K$24,5,FALSE),0),""))</f>
        <v/>
      </c>
      <c r="O142" s="6" t="str">
        <f>IF(OR(OR(UPPER(IFERROR(VLOOKUP($B142,'Base de datos'!$A$3:$K$24,11,FALSE),""))="NO",ISNUMBER(SEARCH("no sometida",IFERROR(VLOOKUP($B142,'Base de datos'!$A$3:$K$24,10,FALSE),""))),ISNUMBER(SEARCH("no fiscal",IFERROR(VLOOKUP($B142,'Base de datos'!$A$3:$K$24,10,FALSE),"")))),OR(ISNUMBER(SEARCH("Hach",$B142)),ISNUMBER(SEARCH("Ketamina",$B142))),AND(IFERROR(VLOOKUP($B142,'Base de datos'!$A$3:$K$24,9,FALSE),"")&lt;&gt;"",IFERROR(VLOOKUP($B142,'Base de datos'!$A$3:$K$24,9,FALSE),"")&lt;&gt;0)),"",IFERROR((($E142*$C142/IFERROR(VLOOKUP($B142,'Base de datos'!$A$3:$K$24,3,FALSE),0))*1000)/IFERROR(VLOOKUP($B142,'Base de datos'!$A$3:$K$24,2,FALSE),0),""))</f>
        <v/>
      </c>
    </row>
    <row r="143" spans="1:15" x14ac:dyDescent="0.25">
      <c r="A143" s="4"/>
      <c r="B143" s="4"/>
      <c r="C143" s="5" t="str">
        <f>IFERROR(VLOOKUP($B143,'Base de datos'!$A$3:$K$24,3,FALSE),"")</f>
        <v/>
      </c>
      <c r="D143" s="4" t="str">
        <f t="shared" si="4"/>
        <v/>
      </c>
      <c r="E143" s="6"/>
      <c r="F143" s="7" t="str">
        <f>IF($B143="","",IF(OR(UPPER(IFERROR(VLOOKUP($B143,'Base de datos'!$A$3:$K$24,11,FALSE),""))="NO",ISNUMBER(SEARCH("no sometida",IFERROR(VLOOKUP($B143,'Base de datos'!$A$3:$K$24,10,FALSE),""))),ISNUMBER(SEARCH("no fiscal",IFERROR(VLOOKUP($B143,'Base de datos'!$A$3:$K$24,10,FALSE),"")))),"",IF(OR(OR(ISNUMBER(SEARCH("Hach",$B143)),ISNUMBER(SEARCH("Ketamina",$B143))),AND(IFERROR(VLOOKUP($B143,'Base de datos'!$A$3:$K$24,9,FALSE),"")&lt;&gt;"",IFERROR(VLOOKUP($B143,'Base de datos'!$A$3:$K$24,9,FALSE),"")&lt;&gt;0)),"",IFERROR($M143*VLOOKUP($B143,'Base de datos'!$A$3:$K$24,8,FALSE)/1000,""))))</f>
        <v/>
      </c>
      <c r="G143" s="7" t="str">
        <f>IF($B143="","",IF(OR(UPPER(IFERROR(VLOOKUP($B143,'Base de datos'!$A$3:$K$24,11,FALSE),""))="NO",ISNUMBER(SEARCH("no sometida",IFERROR(VLOOKUP($B143,'Base de datos'!$A$3:$K$24,10,FALSE),""))),ISNUMBER(SEARCH("no fiscal",IFERROR(VLOOKUP($B143,'Base de datos'!$A$3:$K$24,10,FALSE),"")))),"",IFERROR(IF(OR(ISNUMBER(SEARCH("Hach",$B143)),ISNUMBER(SEARCH("Ketamina",$B143))),IF(VLOOKUP($B143,'Base de datos'!$A$3:$K$24,6,FALSE)="","",$E143*VLOOKUP($B143,'Base de datos'!$A$3:$K$24,6,FALSE)),IF(AND(IFERROR(VLOOKUP($B143,'Base de datos'!$A$3:$K$24,9,FALSE),"")&lt;&gt;"",IFERROR(VLOOKUP($B143,'Base de datos'!$A$3:$K$24,9,FALSE),"")&lt;&gt;0),"",IF(VLOOKUP($B143,'Base de datos'!$A$3:$K$24,6,FALSE)="","",$N143*VLOOKUP($B143,'Base de datos'!$A$3:$K$24,6,FALSE)))),"")))</f>
        <v/>
      </c>
      <c r="H143" s="7" t="str">
        <f>IF($B143="","",IF(OR(UPPER(IFERROR(VLOOKUP($B143,'Base de datos'!$A$3:$K$24,11,FALSE),""))="NO",ISNUMBER(SEARCH("no sometida",IFERROR(VLOOKUP($B143,'Base de datos'!$A$3:$K$24,10,FALSE),""))),ISNUMBER(SEARCH("no fiscal",IFERROR(VLOOKUP($B143,'Base de datos'!$A$3:$K$24,10,FALSE),"")))),"",IF(OR(ISNUMBER(SEARCH("Hach",$B143)),ISNUMBER(SEARCH("Ketamina",$B143))),"",IF(AND(IFERROR(VLOOKUP($B143,'Base de datos'!$A$3:$K$24,9,FALSE),"")&lt;&gt;"",IFERROR(VLOOKUP($B143,'Base de datos'!$A$3:$K$24,9,FALSE),"")&lt;&gt;0),$E143*IFERROR(VLOOKUP($B143,'Base de datos'!$A$3:$K$24,9,FALSE),""),IFERROR($O143*VLOOKUP($B143,'Base de datos'!$A$3:$K$24,4,FALSE),"")))))</f>
        <v/>
      </c>
      <c r="I143" s="5" t="str">
        <f>IFERROR(VLOOKUP($B143,'Base de datos'!$A$3:$K$24,7,FALSE),"")</f>
        <v/>
      </c>
      <c r="J143" s="13" t="str">
        <f>IFERROR(VLOOKUP($B143,'Base de datos'!$A$3:$K$24,10,FALSE),"")</f>
        <v/>
      </c>
      <c r="K143" s="6"/>
      <c r="L143" s="4"/>
      <c r="M143" s="6" t="str">
        <f>IF(OR(OR(UPPER(IFERROR(VLOOKUP($B143,'Base de datos'!$A$3:$K$24,11,FALSE),""))="NO",ISNUMBER(SEARCH("no sometida",IFERROR(VLOOKUP($B143,'Base de datos'!$A$3:$K$24,10,FALSE),""))),ISNUMBER(SEARCH("no fiscal",IFERROR(VLOOKUP($B143,'Base de datos'!$A$3:$K$24,10,FALSE),"")))),OR(ISNUMBER(SEARCH("Hach",$B143)),ISNUMBER(SEARCH("Ketamina",$B143))),AND(IFERROR(VLOOKUP($B143,'Base de datos'!$A$3:$K$24,9,FALSE),"")&lt;&gt;"",IFERROR(VLOOKUP($B143,'Base de datos'!$A$3:$K$24,9,FALSE),"")&lt;&gt;0)),"",IFERROR($E143*$C143/$I143,""))</f>
        <v/>
      </c>
      <c r="N143" s="6" t="str">
        <f>IF(OR(OR(UPPER(IFERROR(VLOOKUP($B143,'Base de datos'!$A$3:$K$24,11,FALSE),""))="NO",ISNUMBER(SEARCH("no sometida",IFERROR(VLOOKUP($B143,'Base de datos'!$A$3:$K$24,10,FALSE),""))),ISNUMBER(SEARCH("no fiscal",IFERROR(VLOOKUP($B143,'Base de datos'!$A$3:$K$24,10,FALSE),"")))),OR(ISNUMBER(SEARCH("Hach",$B143)),ISNUMBER(SEARCH("Ketamina",$B143))),AND(IFERROR(VLOOKUP($B143,'Base de datos'!$A$3:$K$24,9,FALSE),"")&lt;&gt;"",IFERROR(VLOOKUP($B143,'Base de datos'!$A$3:$K$24,9,FALSE),"")&lt;&gt;0)),"",IFERROR($E143*$C143/IFERROR(VLOOKUP($B143,'Base de datos'!$A$3:$K$24,5,FALSE),0),""))</f>
        <v/>
      </c>
      <c r="O143" s="6" t="str">
        <f>IF(OR(OR(UPPER(IFERROR(VLOOKUP($B143,'Base de datos'!$A$3:$K$24,11,FALSE),""))="NO",ISNUMBER(SEARCH("no sometida",IFERROR(VLOOKUP($B143,'Base de datos'!$A$3:$K$24,10,FALSE),""))),ISNUMBER(SEARCH("no fiscal",IFERROR(VLOOKUP($B143,'Base de datos'!$A$3:$K$24,10,FALSE),"")))),OR(ISNUMBER(SEARCH("Hach",$B143)),ISNUMBER(SEARCH("Ketamina",$B143))),AND(IFERROR(VLOOKUP($B143,'Base de datos'!$A$3:$K$24,9,FALSE),"")&lt;&gt;"",IFERROR(VLOOKUP($B143,'Base de datos'!$A$3:$K$24,9,FALSE),"")&lt;&gt;0)),"",IFERROR((($E143*$C143/IFERROR(VLOOKUP($B143,'Base de datos'!$A$3:$K$24,3,FALSE),0))*1000)/IFERROR(VLOOKUP($B143,'Base de datos'!$A$3:$K$24,2,FALSE),0),""))</f>
        <v/>
      </c>
    </row>
    <row r="144" spans="1:15" x14ac:dyDescent="0.25">
      <c r="A144" s="4"/>
      <c r="B144" s="4"/>
      <c r="C144" s="5" t="str">
        <f>IFERROR(VLOOKUP($B144,'Base de datos'!$A$3:$K$24,3,FALSE),"")</f>
        <v/>
      </c>
      <c r="D144" s="4" t="str">
        <f t="shared" si="4"/>
        <v/>
      </c>
      <c r="E144" s="6"/>
      <c r="F144" s="7" t="str">
        <f>IF($B144="","",IF(OR(UPPER(IFERROR(VLOOKUP($B144,'Base de datos'!$A$3:$K$24,11,FALSE),""))="NO",ISNUMBER(SEARCH("no sometida",IFERROR(VLOOKUP($B144,'Base de datos'!$A$3:$K$24,10,FALSE),""))),ISNUMBER(SEARCH("no fiscal",IFERROR(VLOOKUP($B144,'Base de datos'!$A$3:$K$24,10,FALSE),"")))),"",IF(OR(OR(ISNUMBER(SEARCH("Hach",$B144)),ISNUMBER(SEARCH("Ketamina",$B144))),AND(IFERROR(VLOOKUP($B144,'Base de datos'!$A$3:$K$24,9,FALSE),"")&lt;&gt;"",IFERROR(VLOOKUP($B144,'Base de datos'!$A$3:$K$24,9,FALSE),"")&lt;&gt;0)),"",IFERROR($M144*VLOOKUP($B144,'Base de datos'!$A$3:$K$24,8,FALSE)/1000,""))))</f>
        <v/>
      </c>
      <c r="G144" s="7" t="str">
        <f>IF($B144="","",IF(OR(UPPER(IFERROR(VLOOKUP($B144,'Base de datos'!$A$3:$K$24,11,FALSE),""))="NO",ISNUMBER(SEARCH("no sometida",IFERROR(VLOOKUP($B144,'Base de datos'!$A$3:$K$24,10,FALSE),""))),ISNUMBER(SEARCH("no fiscal",IFERROR(VLOOKUP($B144,'Base de datos'!$A$3:$K$24,10,FALSE),"")))),"",IFERROR(IF(OR(ISNUMBER(SEARCH("Hach",$B144)),ISNUMBER(SEARCH("Ketamina",$B144))),IF(VLOOKUP($B144,'Base de datos'!$A$3:$K$24,6,FALSE)="","",$E144*VLOOKUP($B144,'Base de datos'!$A$3:$K$24,6,FALSE)),IF(AND(IFERROR(VLOOKUP($B144,'Base de datos'!$A$3:$K$24,9,FALSE),"")&lt;&gt;"",IFERROR(VLOOKUP($B144,'Base de datos'!$A$3:$K$24,9,FALSE),"")&lt;&gt;0),"",IF(VLOOKUP($B144,'Base de datos'!$A$3:$K$24,6,FALSE)="","",$N144*VLOOKUP($B144,'Base de datos'!$A$3:$K$24,6,FALSE)))),"")))</f>
        <v/>
      </c>
      <c r="H144" s="7" t="str">
        <f>IF($B144="","",IF(OR(UPPER(IFERROR(VLOOKUP($B144,'Base de datos'!$A$3:$K$24,11,FALSE),""))="NO",ISNUMBER(SEARCH("no sometida",IFERROR(VLOOKUP($B144,'Base de datos'!$A$3:$K$24,10,FALSE),""))),ISNUMBER(SEARCH("no fiscal",IFERROR(VLOOKUP($B144,'Base de datos'!$A$3:$K$24,10,FALSE),"")))),"",IF(OR(ISNUMBER(SEARCH("Hach",$B144)),ISNUMBER(SEARCH("Ketamina",$B144))),"",IF(AND(IFERROR(VLOOKUP($B144,'Base de datos'!$A$3:$K$24,9,FALSE),"")&lt;&gt;"",IFERROR(VLOOKUP($B144,'Base de datos'!$A$3:$K$24,9,FALSE),"")&lt;&gt;0),$E144*IFERROR(VLOOKUP($B144,'Base de datos'!$A$3:$K$24,9,FALSE),""),IFERROR($O144*VLOOKUP($B144,'Base de datos'!$A$3:$K$24,4,FALSE),"")))))</f>
        <v/>
      </c>
      <c r="I144" s="5" t="str">
        <f>IFERROR(VLOOKUP($B144,'Base de datos'!$A$3:$K$24,7,FALSE),"")</f>
        <v/>
      </c>
      <c r="J144" s="13" t="str">
        <f>IFERROR(VLOOKUP($B144,'Base de datos'!$A$3:$K$24,10,FALSE),"")</f>
        <v/>
      </c>
      <c r="K144" s="6"/>
      <c r="L144" s="4"/>
      <c r="M144" s="6" t="str">
        <f>IF(OR(OR(UPPER(IFERROR(VLOOKUP($B144,'Base de datos'!$A$3:$K$24,11,FALSE),""))="NO",ISNUMBER(SEARCH("no sometida",IFERROR(VLOOKUP($B144,'Base de datos'!$A$3:$K$24,10,FALSE),""))),ISNUMBER(SEARCH("no fiscal",IFERROR(VLOOKUP($B144,'Base de datos'!$A$3:$K$24,10,FALSE),"")))),OR(ISNUMBER(SEARCH("Hach",$B144)),ISNUMBER(SEARCH("Ketamina",$B144))),AND(IFERROR(VLOOKUP($B144,'Base de datos'!$A$3:$K$24,9,FALSE),"")&lt;&gt;"",IFERROR(VLOOKUP($B144,'Base de datos'!$A$3:$K$24,9,FALSE),"")&lt;&gt;0)),"",IFERROR($E144*$C144/$I144,""))</f>
        <v/>
      </c>
      <c r="N144" s="6" t="str">
        <f>IF(OR(OR(UPPER(IFERROR(VLOOKUP($B144,'Base de datos'!$A$3:$K$24,11,FALSE),""))="NO",ISNUMBER(SEARCH("no sometida",IFERROR(VLOOKUP($B144,'Base de datos'!$A$3:$K$24,10,FALSE),""))),ISNUMBER(SEARCH("no fiscal",IFERROR(VLOOKUP($B144,'Base de datos'!$A$3:$K$24,10,FALSE),"")))),OR(ISNUMBER(SEARCH("Hach",$B144)),ISNUMBER(SEARCH("Ketamina",$B144))),AND(IFERROR(VLOOKUP($B144,'Base de datos'!$A$3:$K$24,9,FALSE),"")&lt;&gt;"",IFERROR(VLOOKUP($B144,'Base de datos'!$A$3:$K$24,9,FALSE),"")&lt;&gt;0)),"",IFERROR($E144*$C144/IFERROR(VLOOKUP($B144,'Base de datos'!$A$3:$K$24,5,FALSE),0),""))</f>
        <v/>
      </c>
      <c r="O144" s="6" t="str">
        <f>IF(OR(OR(UPPER(IFERROR(VLOOKUP($B144,'Base de datos'!$A$3:$K$24,11,FALSE),""))="NO",ISNUMBER(SEARCH("no sometida",IFERROR(VLOOKUP($B144,'Base de datos'!$A$3:$K$24,10,FALSE),""))),ISNUMBER(SEARCH("no fiscal",IFERROR(VLOOKUP($B144,'Base de datos'!$A$3:$K$24,10,FALSE),"")))),OR(ISNUMBER(SEARCH("Hach",$B144)),ISNUMBER(SEARCH("Ketamina",$B144))),AND(IFERROR(VLOOKUP($B144,'Base de datos'!$A$3:$K$24,9,FALSE),"")&lt;&gt;"",IFERROR(VLOOKUP($B144,'Base de datos'!$A$3:$K$24,9,FALSE),"")&lt;&gt;0)),"",IFERROR((($E144*$C144/IFERROR(VLOOKUP($B144,'Base de datos'!$A$3:$K$24,3,FALSE),0))*1000)/IFERROR(VLOOKUP($B144,'Base de datos'!$A$3:$K$24,2,FALSE),0),""))</f>
        <v/>
      </c>
    </row>
    <row r="145" spans="1:15" x14ac:dyDescent="0.25">
      <c r="A145" s="4"/>
      <c r="B145" s="4"/>
      <c r="C145" s="5" t="str">
        <f>IFERROR(VLOOKUP($B145,'Base de datos'!$A$3:$K$24,3,FALSE),"")</f>
        <v/>
      </c>
      <c r="D145" s="4" t="str">
        <f t="shared" si="4"/>
        <v/>
      </c>
      <c r="E145" s="6"/>
      <c r="F145" s="7" t="str">
        <f>IF($B145="","",IF(OR(UPPER(IFERROR(VLOOKUP($B145,'Base de datos'!$A$3:$K$24,11,FALSE),""))="NO",ISNUMBER(SEARCH("no sometida",IFERROR(VLOOKUP($B145,'Base de datos'!$A$3:$K$24,10,FALSE),""))),ISNUMBER(SEARCH("no fiscal",IFERROR(VLOOKUP($B145,'Base de datos'!$A$3:$K$24,10,FALSE),"")))),"",IF(OR(OR(ISNUMBER(SEARCH("Hach",$B145)),ISNUMBER(SEARCH("Ketamina",$B145))),AND(IFERROR(VLOOKUP($B145,'Base de datos'!$A$3:$K$24,9,FALSE),"")&lt;&gt;"",IFERROR(VLOOKUP($B145,'Base de datos'!$A$3:$K$24,9,FALSE),"")&lt;&gt;0)),"",IFERROR($M145*VLOOKUP($B145,'Base de datos'!$A$3:$K$24,8,FALSE)/1000,""))))</f>
        <v/>
      </c>
      <c r="G145" s="7" t="str">
        <f>IF($B145="","",IF(OR(UPPER(IFERROR(VLOOKUP($B145,'Base de datos'!$A$3:$K$24,11,FALSE),""))="NO",ISNUMBER(SEARCH("no sometida",IFERROR(VLOOKUP($B145,'Base de datos'!$A$3:$K$24,10,FALSE),""))),ISNUMBER(SEARCH("no fiscal",IFERROR(VLOOKUP($B145,'Base de datos'!$A$3:$K$24,10,FALSE),"")))),"",IFERROR(IF(OR(ISNUMBER(SEARCH("Hach",$B145)),ISNUMBER(SEARCH("Ketamina",$B145))),IF(VLOOKUP($B145,'Base de datos'!$A$3:$K$24,6,FALSE)="","",$E145*VLOOKUP($B145,'Base de datos'!$A$3:$K$24,6,FALSE)),IF(AND(IFERROR(VLOOKUP($B145,'Base de datos'!$A$3:$K$24,9,FALSE),"")&lt;&gt;"",IFERROR(VLOOKUP($B145,'Base de datos'!$A$3:$K$24,9,FALSE),"")&lt;&gt;0),"",IF(VLOOKUP($B145,'Base de datos'!$A$3:$K$24,6,FALSE)="","",$N145*VLOOKUP($B145,'Base de datos'!$A$3:$K$24,6,FALSE)))),"")))</f>
        <v/>
      </c>
      <c r="H145" s="7" t="str">
        <f>IF($B145="","",IF(OR(UPPER(IFERROR(VLOOKUP($B145,'Base de datos'!$A$3:$K$24,11,FALSE),""))="NO",ISNUMBER(SEARCH("no sometida",IFERROR(VLOOKUP($B145,'Base de datos'!$A$3:$K$24,10,FALSE),""))),ISNUMBER(SEARCH("no fiscal",IFERROR(VLOOKUP($B145,'Base de datos'!$A$3:$K$24,10,FALSE),"")))),"",IF(OR(ISNUMBER(SEARCH("Hach",$B145)),ISNUMBER(SEARCH("Ketamina",$B145))),"",IF(AND(IFERROR(VLOOKUP($B145,'Base de datos'!$A$3:$K$24,9,FALSE),"")&lt;&gt;"",IFERROR(VLOOKUP($B145,'Base de datos'!$A$3:$K$24,9,FALSE),"")&lt;&gt;0),$E145*IFERROR(VLOOKUP($B145,'Base de datos'!$A$3:$K$24,9,FALSE),""),IFERROR($O145*VLOOKUP($B145,'Base de datos'!$A$3:$K$24,4,FALSE),"")))))</f>
        <v/>
      </c>
      <c r="I145" s="5" t="str">
        <f>IFERROR(VLOOKUP($B145,'Base de datos'!$A$3:$K$24,7,FALSE),"")</f>
        <v/>
      </c>
      <c r="J145" s="13" t="str">
        <f>IFERROR(VLOOKUP($B145,'Base de datos'!$A$3:$K$24,10,FALSE),"")</f>
        <v/>
      </c>
      <c r="K145" s="6"/>
      <c r="L145" s="4"/>
      <c r="M145" s="6" t="str">
        <f>IF(OR(OR(UPPER(IFERROR(VLOOKUP($B145,'Base de datos'!$A$3:$K$24,11,FALSE),""))="NO",ISNUMBER(SEARCH("no sometida",IFERROR(VLOOKUP($B145,'Base de datos'!$A$3:$K$24,10,FALSE),""))),ISNUMBER(SEARCH("no fiscal",IFERROR(VLOOKUP($B145,'Base de datos'!$A$3:$K$24,10,FALSE),"")))),OR(ISNUMBER(SEARCH("Hach",$B145)),ISNUMBER(SEARCH("Ketamina",$B145))),AND(IFERROR(VLOOKUP($B145,'Base de datos'!$A$3:$K$24,9,FALSE),"")&lt;&gt;"",IFERROR(VLOOKUP($B145,'Base de datos'!$A$3:$K$24,9,FALSE),"")&lt;&gt;0)),"",IFERROR($E145*$C145/$I145,""))</f>
        <v/>
      </c>
      <c r="N145" s="6" t="str">
        <f>IF(OR(OR(UPPER(IFERROR(VLOOKUP($B145,'Base de datos'!$A$3:$K$24,11,FALSE),""))="NO",ISNUMBER(SEARCH("no sometida",IFERROR(VLOOKUP($B145,'Base de datos'!$A$3:$K$24,10,FALSE),""))),ISNUMBER(SEARCH("no fiscal",IFERROR(VLOOKUP($B145,'Base de datos'!$A$3:$K$24,10,FALSE),"")))),OR(ISNUMBER(SEARCH("Hach",$B145)),ISNUMBER(SEARCH("Ketamina",$B145))),AND(IFERROR(VLOOKUP($B145,'Base de datos'!$A$3:$K$24,9,FALSE),"")&lt;&gt;"",IFERROR(VLOOKUP($B145,'Base de datos'!$A$3:$K$24,9,FALSE),"")&lt;&gt;0)),"",IFERROR($E145*$C145/IFERROR(VLOOKUP($B145,'Base de datos'!$A$3:$K$24,5,FALSE),0),""))</f>
        <v/>
      </c>
      <c r="O145" s="6" t="str">
        <f>IF(OR(OR(UPPER(IFERROR(VLOOKUP($B145,'Base de datos'!$A$3:$K$24,11,FALSE),""))="NO",ISNUMBER(SEARCH("no sometida",IFERROR(VLOOKUP($B145,'Base de datos'!$A$3:$K$24,10,FALSE),""))),ISNUMBER(SEARCH("no fiscal",IFERROR(VLOOKUP($B145,'Base de datos'!$A$3:$K$24,10,FALSE),"")))),OR(ISNUMBER(SEARCH("Hach",$B145)),ISNUMBER(SEARCH("Ketamina",$B145))),AND(IFERROR(VLOOKUP($B145,'Base de datos'!$A$3:$K$24,9,FALSE),"")&lt;&gt;"",IFERROR(VLOOKUP($B145,'Base de datos'!$A$3:$K$24,9,FALSE),"")&lt;&gt;0)),"",IFERROR((($E145*$C145/IFERROR(VLOOKUP($B145,'Base de datos'!$A$3:$K$24,3,FALSE),0))*1000)/IFERROR(VLOOKUP($B145,'Base de datos'!$A$3:$K$24,2,FALSE),0),""))</f>
        <v/>
      </c>
    </row>
    <row r="146" spans="1:15" x14ac:dyDescent="0.25">
      <c r="A146" s="4"/>
      <c r="B146" s="4"/>
      <c r="C146" s="5" t="str">
        <f>IFERROR(VLOOKUP($B146,'Base de datos'!$A$3:$K$24,3,FALSE),"")</f>
        <v/>
      </c>
      <c r="D146" s="4" t="str">
        <f t="shared" si="4"/>
        <v/>
      </c>
      <c r="E146" s="6"/>
      <c r="F146" s="7" t="str">
        <f>IF($B146="","",IF(OR(UPPER(IFERROR(VLOOKUP($B146,'Base de datos'!$A$3:$K$24,11,FALSE),""))="NO",ISNUMBER(SEARCH("no sometida",IFERROR(VLOOKUP($B146,'Base de datos'!$A$3:$K$24,10,FALSE),""))),ISNUMBER(SEARCH("no fiscal",IFERROR(VLOOKUP($B146,'Base de datos'!$A$3:$K$24,10,FALSE),"")))),"",IF(OR(OR(ISNUMBER(SEARCH("Hach",$B146)),ISNUMBER(SEARCH("Ketamina",$B146))),AND(IFERROR(VLOOKUP($B146,'Base de datos'!$A$3:$K$24,9,FALSE),"")&lt;&gt;"",IFERROR(VLOOKUP($B146,'Base de datos'!$A$3:$K$24,9,FALSE),"")&lt;&gt;0)),"",IFERROR($M146*VLOOKUP($B146,'Base de datos'!$A$3:$K$24,8,FALSE)/1000,""))))</f>
        <v/>
      </c>
      <c r="G146" s="7" t="str">
        <f>IF($B146="","",IF(OR(UPPER(IFERROR(VLOOKUP($B146,'Base de datos'!$A$3:$K$24,11,FALSE),""))="NO",ISNUMBER(SEARCH("no sometida",IFERROR(VLOOKUP($B146,'Base de datos'!$A$3:$K$24,10,FALSE),""))),ISNUMBER(SEARCH("no fiscal",IFERROR(VLOOKUP($B146,'Base de datos'!$A$3:$K$24,10,FALSE),"")))),"",IFERROR(IF(OR(ISNUMBER(SEARCH("Hach",$B146)),ISNUMBER(SEARCH("Ketamina",$B146))),IF(VLOOKUP($B146,'Base de datos'!$A$3:$K$24,6,FALSE)="","",$E146*VLOOKUP($B146,'Base de datos'!$A$3:$K$24,6,FALSE)),IF(AND(IFERROR(VLOOKUP($B146,'Base de datos'!$A$3:$K$24,9,FALSE),"")&lt;&gt;"",IFERROR(VLOOKUP($B146,'Base de datos'!$A$3:$K$24,9,FALSE),"")&lt;&gt;0),"",IF(VLOOKUP($B146,'Base de datos'!$A$3:$K$24,6,FALSE)="","",$N146*VLOOKUP($B146,'Base de datos'!$A$3:$K$24,6,FALSE)))),"")))</f>
        <v/>
      </c>
      <c r="H146" s="7" t="str">
        <f>IF($B146="","",IF(OR(UPPER(IFERROR(VLOOKUP($B146,'Base de datos'!$A$3:$K$24,11,FALSE),""))="NO",ISNUMBER(SEARCH("no sometida",IFERROR(VLOOKUP($B146,'Base de datos'!$A$3:$K$24,10,FALSE),""))),ISNUMBER(SEARCH("no fiscal",IFERROR(VLOOKUP($B146,'Base de datos'!$A$3:$K$24,10,FALSE),"")))),"",IF(OR(ISNUMBER(SEARCH("Hach",$B146)),ISNUMBER(SEARCH("Ketamina",$B146))),"",IF(AND(IFERROR(VLOOKUP($B146,'Base de datos'!$A$3:$K$24,9,FALSE),"")&lt;&gt;"",IFERROR(VLOOKUP($B146,'Base de datos'!$A$3:$K$24,9,FALSE),"")&lt;&gt;0),$E146*IFERROR(VLOOKUP($B146,'Base de datos'!$A$3:$K$24,9,FALSE),""),IFERROR($O146*VLOOKUP($B146,'Base de datos'!$A$3:$K$24,4,FALSE),"")))))</f>
        <v/>
      </c>
      <c r="I146" s="5" t="str">
        <f>IFERROR(VLOOKUP($B146,'Base de datos'!$A$3:$K$24,7,FALSE),"")</f>
        <v/>
      </c>
      <c r="J146" s="13" t="str">
        <f>IFERROR(VLOOKUP($B146,'Base de datos'!$A$3:$K$24,10,FALSE),"")</f>
        <v/>
      </c>
      <c r="K146" s="6"/>
      <c r="L146" s="4"/>
      <c r="M146" s="6" t="str">
        <f>IF(OR(OR(UPPER(IFERROR(VLOOKUP($B146,'Base de datos'!$A$3:$K$24,11,FALSE),""))="NO",ISNUMBER(SEARCH("no sometida",IFERROR(VLOOKUP($B146,'Base de datos'!$A$3:$K$24,10,FALSE),""))),ISNUMBER(SEARCH("no fiscal",IFERROR(VLOOKUP($B146,'Base de datos'!$A$3:$K$24,10,FALSE),"")))),OR(ISNUMBER(SEARCH("Hach",$B146)),ISNUMBER(SEARCH("Ketamina",$B146))),AND(IFERROR(VLOOKUP($B146,'Base de datos'!$A$3:$K$24,9,FALSE),"")&lt;&gt;"",IFERROR(VLOOKUP($B146,'Base de datos'!$A$3:$K$24,9,FALSE),"")&lt;&gt;0)),"",IFERROR($E146*$C146/$I146,""))</f>
        <v/>
      </c>
      <c r="N146" s="6" t="str">
        <f>IF(OR(OR(UPPER(IFERROR(VLOOKUP($B146,'Base de datos'!$A$3:$K$24,11,FALSE),""))="NO",ISNUMBER(SEARCH("no sometida",IFERROR(VLOOKUP($B146,'Base de datos'!$A$3:$K$24,10,FALSE),""))),ISNUMBER(SEARCH("no fiscal",IFERROR(VLOOKUP($B146,'Base de datos'!$A$3:$K$24,10,FALSE),"")))),OR(ISNUMBER(SEARCH("Hach",$B146)),ISNUMBER(SEARCH("Ketamina",$B146))),AND(IFERROR(VLOOKUP($B146,'Base de datos'!$A$3:$K$24,9,FALSE),"")&lt;&gt;"",IFERROR(VLOOKUP($B146,'Base de datos'!$A$3:$K$24,9,FALSE),"")&lt;&gt;0)),"",IFERROR($E146*$C146/IFERROR(VLOOKUP($B146,'Base de datos'!$A$3:$K$24,5,FALSE),0),""))</f>
        <v/>
      </c>
      <c r="O146" s="6" t="str">
        <f>IF(OR(OR(UPPER(IFERROR(VLOOKUP($B146,'Base de datos'!$A$3:$K$24,11,FALSE),""))="NO",ISNUMBER(SEARCH("no sometida",IFERROR(VLOOKUP($B146,'Base de datos'!$A$3:$K$24,10,FALSE),""))),ISNUMBER(SEARCH("no fiscal",IFERROR(VLOOKUP($B146,'Base de datos'!$A$3:$K$24,10,FALSE),"")))),OR(ISNUMBER(SEARCH("Hach",$B146)),ISNUMBER(SEARCH("Ketamina",$B146))),AND(IFERROR(VLOOKUP($B146,'Base de datos'!$A$3:$K$24,9,FALSE),"")&lt;&gt;"",IFERROR(VLOOKUP($B146,'Base de datos'!$A$3:$K$24,9,FALSE),"")&lt;&gt;0)),"",IFERROR((($E146*$C146/IFERROR(VLOOKUP($B146,'Base de datos'!$A$3:$K$24,3,FALSE),0))*1000)/IFERROR(VLOOKUP($B146,'Base de datos'!$A$3:$K$24,2,FALSE),0),""))</f>
        <v/>
      </c>
    </row>
    <row r="147" spans="1:15" x14ac:dyDescent="0.25">
      <c r="A147" s="4"/>
      <c r="B147" s="4"/>
      <c r="C147" s="5" t="str">
        <f>IFERROR(VLOOKUP($B147,'Base de datos'!$A$3:$K$24,3,FALSE),"")</f>
        <v/>
      </c>
      <c r="D147" s="4" t="str">
        <f t="shared" si="4"/>
        <v/>
      </c>
      <c r="E147" s="6"/>
      <c r="F147" s="7" t="str">
        <f>IF($B147="","",IF(OR(UPPER(IFERROR(VLOOKUP($B147,'Base de datos'!$A$3:$K$24,11,FALSE),""))="NO",ISNUMBER(SEARCH("no sometida",IFERROR(VLOOKUP($B147,'Base de datos'!$A$3:$K$24,10,FALSE),""))),ISNUMBER(SEARCH("no fiscal",IFERROR(VLOOKUP($B147,'Base de datos'!$A$3:$K$24,10,FALSE),"")))),"",IF(OR(OR(ISNUMBER(SEARCH("Hach",$B147)),ISNUMBER(SEARCH("Ketamina",$B147))),AND(IFERROR(VLOOKUP($B147,'Base de datos'!$A$3:$K$24,9,FALSE),"")&lt;&gt;"",IFERROR(VLOOKUP($B147,'Base de datos'!$A$3:$K$24,9,FALSE),"")&lt;&gt;0)),"",IFERROR($M147*VLOOKUP($B147,'Base de datos'!$A$3:$K$24,8,FALSE)/1000,""))))</f>
        <v/>
      </c>
      <c r="G147" s="7" t="str">
        <f>IF($B147="","",IF(OR(UPPER(IFERROR(VLOOKUP($B147,'Base de datos'!$A$3:$K$24,11,FALSE),""))="NO",ISNUMBER(SEARCH("no sometida",IFERROR(VLOOKUP($B147,'Base de datos'!$A$3:$K$24,10,FALSE),""))),ISNUMBER(SEARCH("no fiscal",IFERROR(VLOOKUP($B147,'Base de datos'!$A$3:$K$24,10,FALSE),"")))),"",IFERROR(IF(OR(ISNUMBER(SEARCH("Hach",$B147)),ISNUMBER(SEARCH("Ketamina",$B147))),IF(VLOOKUP($B147,'Base de datos'!$A$3:$K$24,6,FALSE)="","",$E147*VLOOKUP($B147,'Base de datos'!$A$3:$K$24,6,FALSE)),IF(AND(IFERROR(VLOOKUP($B147,'Base de datos'!$A$3:$K$24,9,FALSE),"")&lt;&gt;"",IFERROR(VLOOKUP($B147,'Base de datos'!$A$3:$K$24,9,FALSE),"")&lt;&gt;0),"",IF(VLOOKUP($B147,'Base de datos'!$A$3:$K$24,6,FALSE)="","",$N147*VLOOKUP($B147,'Base de datos'!$A$3:$K$24,6,FALSE)))),"")))</f>
        <v/>
      </c>
      <c r="H147" s="7" t="str">
        <f>IF($B147="","",IF(OR(UPPER(IFERROR(VLOOKUP($B147,'Base de datos'!$A$3:$K$24,11,FALSE),""))="NO",ISNUMBER(SEARCH("no sometida",IFERROR(VLOOKUP($B147,'Base de datos'!$A$3:$K$24,10,FALSE),""))),ISNUMBER(SEARCH("no fiscal",IFERROR(VLOOKUP($B147,'Base de datos'!$A$3:$K$24,10,FALSE),"")))),"",IF(OR(ISNUMBER(SEARCH("Hach",$B147)),ISNUMBER(SEARCH("Ketamina",$B147))),"",IF(AND(IFERROR(VLOOKUP($B147,'Base de datos'!$A$3:$K$24,9,FALSE),"")&lt;&gt;"",IFERROR(VLOOKUP($B147,'Base de datos'!$A$3:$K$24,9,FALSE),"")&lt;&gt;0),$E147*IFERROR(VLOOKUP($B147,'Base de datos'!$A$3:$K$24,9,FALSE),""),IFERROR($O147*VLOOKUP($B147,'Base de datos'!$A$3:$K$24,4,FALSE),"")))))</f>
        <v/>
      </c>
      <c r="I147" s="5" t="str">
        <f>IFERROR(VLOOKUP($B147,'Base de datos'!$A$3:$K$24,7,FALSE),"")</f>
        <v/>
      </c>
      <c r="J147" s="13" t="str">
        <f>IFERROR(VLOOKUP($B147,'Base de datos'!$A$3:$K$24,10,FALSE),"")</f>
        <v/>
      </c>
      <c r="K147" s="6"/>
      <c r="L147" s="4"/>
      <c r="M147" s="6" t="str">
        <f>IF(OR(OR(UPPER(IFERROR(VLOOKUP($B147,'Base de datos'!$A$3:$K$24,11,FALSE),""))="NO",ISNUMBER(SEARCH("no sometida",IFERROR(VLOOKUP($B147,'Base de datos'!$A$3:$K$24,10,FALSE),""))),ISNUMBER(SEARCH("no fiscal",IFERROR(VLOOKUP($B147,'Base de datos'!$A$3:$K$24,10,FALSE),"")))),OR(ISNUMBER(SEARCH("Hach",$B147)),ISNUMBER(SEARCH("Ketamina",$B147))),AND(IFERROR(VLOOKUP($B147,'Base de datos'!$A$3:$K$24,9,FALSE),"")&lt;&gt;"",IFERROR(VLOOKUP($B147,'Base de datos'!$A$3:$K$24,9,FALSE),"")&lt;&gt;0)),"",IFERROR($E147*$C147/$I147,""))</f>
        <v/>
      </c>
      <c r="N147" s="6" t="str">
        <f>IF(OR(OR(UPPER(IFERROR(VLOOKUP($B147,'Base de datos'!$A$3:$K$24,11,FALSE),""))="NO",ISNUMBER(SEARCH("no sometida",IFERROR(VLOOKUP($B147,'Base de datos'!$A$3:$K$24,10,FALSE),""))),ISNUMBER(SEARCH("no fiscal",IFERROR(VLOOKUP($B147,'Base de datos'!$A$3:$K$24,10,FALSE),"")))),OR(ISNUMBER(SEARCH("Hach",$B147)),ISNUMBER(SEARCH("Ketamina",$B147))),AND(IFERROR(VLOOKUP($B147,'Base de datos'!$A$3:$K$24,9,FALSE),"")&lt;&gt;"",IFERROR(VLOOKUP($B147,'Base de datos'!$A$3:$K$24,9,FALSE),"")&lt;&gt;0)),"",IFERROR($E147*$C147/IFERROR(VLOOKUP($B147,'Base de datos'!$A$3:$K$24,5,FALSE),0),""))</f>
        <v/>
      </c>
      <c r="O147" s="6" t="str">
        <f>IF(OR(OR(UPPER(IFERROR(VLOOKUP($B147,'Base de datos'!$A$3:$K$24,11,FALSE),""))="NO",ISNUMBER(SEARCH("no sometida",IFERROR(VLOOKUP($B147,'Base de datos'!$A$3:$K$24,10,FALSE),""))),ISNUMBER(SEARCH("no fiscal",IFERROR(VLOOKUP($B147,'Base de datos'!$A$3:$K$24,10,FALSE),"")))),OR(ISNUMBER(SEARCH("Hach",$B147)),ISNUMBER(SEARCH("Ketamina",$B147))),AND(IFERROR(VLOOKUP($B147,'Base de datos'!$A$3:$K$24,9,FALSE),"")&lt;&gt;"",IFERROR(VLOOKUP($B147,'Base de datos'!$A$3:$K$24,9,FALSE),"")&lt;&gt;0)),"",IFERROR((($E147*$C147/IFERROR(VLOOKUP($B147,'Base de datos'!$A$3:$K$24,3,FALSE),0))*1000)/IFERROR(VLOOKUP($B147,'Base de datos'!$A$3:$K$24,2,FALSE),0),""))</f>
        <v/>
      </c>
    </row>
    <row r="148" spans="1:15" x14ac:dyDescent="0.25">
      <c r="A148" s="4"/>
      <c r="B148" s="4"/>
      <c r="C148" s="5" t="str">
        <f>IFERROR(VLOOKUP($B148,'Base de datos'!$A$3:$K$24,3,FALSE),"")</f>
        <v/>
      </c>
      <c r="D148" s="4" t="str">
        <f t="shared" si="4"/>
        <v/>
      </c>
      <c r="E148" s="6"/>
      <c r="F148" s="7" t="str">
        <f>IF($B148="","",IF(OR(UPPER(IFERROR(VLOOKUP($B148,'Base de datos'!$A$3:$K$24,11,FALSE),""))="NO",ISNUMBER(SEARCH("no sometida",IFERROR(VLOOKUP($B148,'Base de datos'!$A$3:$K$24,10,FALSE),""))),ISNUMBER(SEARCH("no fiscal",IFERROR(VLOOKUP($B148,'Base de datos'!$A$3:$K$24,10,FALSE),"")))),"",IF(OR(OR(ISNUMBER(SEARCH("Hach",$B148)),ISNUMBER(SEARCH("Ketamina",$B148))),AND(IFERROR(VLOOKUP($B148,'Base de datos'!$A$3:$K$24,9,FALSE),"")&lt;&gt;"",IFERROR(VLOOKUP($B148,'Base de datos'!$A$3:$K$24,9,FALSE),"")&lt;&gt;0)),"",IFERROR($M148*VLOOKUP($B148,'Base de datos'!$A$3:$K$24,8,FALSE)/1000,""))))</f>
        <v/>
      </c>
      <c r="G148" s="7" t="str">
        <f>IF($B148="","",IF(OR(UPPER(IFERROR(VLOOKUP($B148,'Base de datos'!$A$3:$K$24,11,FALSE),""))="NO",ISNUMBER(SEARCH("no sometida",IFERROR(VLOOKUP($B148,'Base de datos'!$A$3:$K$24,10,FALSE),""))),ISNUMBER(SEARCH("no fiscal",IFERROR(VLOOKUP($B148,'Base de datos'!$A$3:$K$24,10,FALSE),"")))),"",IFERROR(IF(OR(ISNUMBER(SEARCH("Hach",$B148)),ISNUMBER(SEARCH("Ketamina",$B148))),IF(VLOOKUP($B148,'Base de datos'!$A$3:$K$24,6,FALSE)="","",$E148*VLOOKUP($B148,'Base de datos'!$A$3:$K$24,6,FALSE)),IF(AND(IFERROR(VLOOKUP($B148,'Base de datos'!$A$3:$K$24,9,FALSE),"")&lt;&gt;"",IFERROR(VLOOKUP($B148,'Base de datos'!$A$3:$K$24,9,FALSE),"")&lt;&gt;0),"",IF(VLOOKUP($B148,'Base de datos'!$A$3:$K$24,6,FALSE)="","",$N148*VLOOKUP($B148,'Base de datos'!$A$3:$K$24,6,FALSE)))),"")))</f>
        <v/>
      </c>
      <c r="H148" s="7" t="str">
        <f>IF($B148="","",IF(OR(UPPER(IFERROR(VLOOKUP($B148,'Base de datos'!$A$3:$K$24,11,FALSE),""))="NO",ISNUMBER(SEARCH("no sometida",IFERROR(VLOOKUP($B148,'Base de datos'!$A$3:$K$24,10,FALSE),""))),ISNUMBER(SEARCH("no fiscal",IFERROR(VLOOKUP($B148,'Base de datos'!$A$3:$K$24,10,FALSE),"")))),"",IF(OR(ISNUMBER(SEARCH("Hach",$B148)),ISNUMBER(SEARCH("Ketamina",$B148))),"",IF(AND(IFERROR(VLOOKUP($B148,'Base de datos'!$A$3:$K$24,9,FALSE),"")&lt;&gt;"",IFERROR(VLOOKUP($B148,'Base de datos'!$A$3:$K$24,9,FALSE),"")&lt;&gt;0),$E148*IFERROR(VLOOKUP($B148,'Base de datos'!$A$3:$K$24,9,FALSE),""),IFERROR($O148*VLOOKUP($B148,'Base de datos'!$A$3:$K$24,4,FALSE),"")))))</f>
        <v/>
      </c>
      <c r="I148" s="5" t="str">
        <f>IFERROR(VLOOKUP($B148,'Base de datos'!$A$3:$K$24,7,FALSE),"")</f>
        <v/>
      </c>
      <c r="J148" s="13" t="str">
        <f>IFERROR(VLOOKUP($B148,'Base de datos'!$A$3:$K$24,10,FALSE),"")</f>
        <v/>
      </c>
      <c r="K148" s="6"/>
      <c r="L148" s="4"/>
      <c r="M148" s="6" t="str">
        <f>IF(OR(OR(UPPER(IFERROR(VLOOKUP($B148,'Base de datos'!$A$3:$K$24,11,FALSE),""))="NO",ISNUMBER(SEARCH("no sometida",IFERROR(VLOOKUP($B148,'Base de datos'!$A$3:$K$24,10,FALSE),""))),ISNUMBER(SEARCH("no fiscal",IFERROR(VLOOKUP($B148,'Base de datos'!$A$3:$K$24,10,FALSE),"")))),OR(ISNUMBER(SEARCH("Hach",$B148)),ISNUMBER(SEARCH("Ketamina",$B148))),AND(IFERROR(VLOOKUP($B148,'Base de datos'!$A$3:$K$24,9,FALSE),"")&lt;&gt;"",IFERROR(VLOOKUP($B148,'Base de datos'!$A$3:$K$24,9,FALSE),"")&lt;&gt;0)),"",IFERROR($E148*$C148/$I148,""))</f>
        <v/>
      </c>
      <c r="N148" s="6" t="str">
        <f>IF(OR(OR(UPPER(IFERROR(VLOOKUP($B148,'Base de datos'!$A$3:$K$24,11,FALSE),""))="NO",ISNUMBER(SEARCH("no sometida",IFERROR(VLOOKUP($B148,'Base de datos'!$A$3:$K$24,10,FALSE),""))),ISNUMBER(SEARCH("no fiscal",IFERROR(VLOOKUP($B148,'Base de datos'!$A$3:$K$24,10,FALSE),"")))),OR(ISNUMBER(SEARCH("Hach",$B148)),ISNUMBER(SEARCH("Ketamina",$B148))),AND(IFERROR(VLOOKUP($B148,'Base de datos'!$A$3:$K$24,9,FALSE),"")&lt;&gt;"",IFERROR(VLOOKUP($B148,'Base de datos'!$A$3:$K$24,9,FALSE),"")&lt;&gt;0)),"",IFERROR($E148*$C148/IFERROR(VLOOKUP($B148,'Base de datos'!$A$3:$K$24,5,FALSE),0),""))</f>
        <v/>
      </c>
      <c r="O148" s="6" t="str">
        <f>IF(OR(OR(UPPER(IFERROR(VLOOKUP($B148,'Base de datos'!$A$3:$K$24,11,FALSE),""))="NO",ISNUMBER(SEARCH("no sometida",IFERROR(VLOOKUP($B148,'Base de datos'!$A$3:$K$24,10,FALSE),""))),ISNUMBER(SEARCH("no fiscal",IFERROR(VLOOKUP($B148,'Base de datos'!$A$3:$K$24,10,FALSE),"")))),OR(ISNUMBER(SEARCH("Hach",$B148)),ISNUMBER(SEARCH("Ketamina",$B148))),AND(IFERROR(VLOOKUP($B148,'Base de datos'!$A$3:$K$24,9,FALSE),"")&lt;&gt;"",IFERROR(VLOOKUP($B148,'Base de datos'!$A$3:$K$24,9,FALSE),"")&lt;&gt;0)),"",IFERROR((($E148*$C148/IFERROR(VLOOKUP($B148,'Base de datos'!$A$3:$K$24,3,FALSE),0))*1000)/IFERROR(VLOOKUP($B148,'Base de datos'!$A$3:$K$24,2,FALSE),0),""))</f>
        <v/>
      </c>
    </row>
    <row r="149" spans="1:15" x14ac:dyDescent="0.25">
      <c r="A149" s="4"/>
      <c r="B149" s="4"/>
      <c r="C149" s="5" t="str">
        <f>IFERROR(VLOOKUP($B149,'Base de datos'!$A$3:$K$24,3,FALSE),"")</f>
        <v/>
      </c>
      <c r="D149" s="4" t="str">
        <f t="shared" si="4"/>
        <v/>
      </c>
      <c r="E149" s="6"/>
      <c r="F149" s="7" t="str">
        <f>IF($B149="","",IF(OR(UPPER(IFERROR(VLOOKUP($B149,'Base de datos'!$A$3:$K$24,11,FALSE),""))="NO",ISNUMBER(SEARCH("no sometida",IFERROR(VLOOKUP($B149,'Base de datos'!$A$3:$K$24,10,FALSE),""))),ISNUMBER(SEARCH("no fiscal",IFERROR(VLOOKUP($B149,'Base de datos'!$A$3:$K$24,10,FALSE),"")))),"",IF(OR(OR(ISNUMBER(SEARCH("Hach",$B149)),ISNUMBER(SEARCH("Ketamina",$B149))),AND(IFERROR(VLOOKUP($B149,'Base de datos'!$A$3:$K$24,9,FALSE),"")&lt;&gt;"",IFERROR(VLOOKUP($B149,'Base de datos'!$A$3:$K$24,9,FALSE),"")&lt;&gt;0)),"",IFERROR($M149*VLOOKUP($B149,'Base de datos'!$A$3:$K$24,8,FALSE)/1000,""))))</f>
        <v/>
      </c>
      <c r="G149" s="7" t="str">
        <f>IF($B149="","",IF(OR(UPPER(IFERROR(VLOOKUP($B149,'Base de datos'!$A$3:$K$24,11,FALSE),""))="NO",ISNUMBER(SEARCH("no sometida",IFERROR(VLOOKUP($B149,'Base de datos'!$A$3:$K$24,10,FALSE),""))),ISNUMBER(SEARCH("no fiscal",IFERROR(VLOOKUP($B149,'Base de datos'!$A$3:$K$24,10,FALSE),"")))),"",IFERROR(IF(OR(ISNUMBER(SEARCH("Hach",$B149)),ISNUMBER(SEARCH("Ketamina",$B149))),IF(VLOOKUP($B149,'Base de datos'!$A$3:$K$24,6,FALSE)="","",$E149*VLOOKUP($B149,'Base de datos'!$A$3:$K$24,6,FALSE)),IF(AND(IFERROR(VLOOKUP($B149,'Base de datos'!$A$3:$K$24,9,FALSE),"")&lt;&gt;"",IFERROR(VLOOKUP($B149,'Base de datos'!$A$3:$K$24,9,FALSE),"")&lt;&gt;0),"",IF(VLOOKUP($B149,'Base de datos'!$A$3:$K$24,6,FALSE)="","",$N149*VLOOKUP($B149,'Base de datos'!$A$3:$K$24,6,FALSE)))),"")))</f>
        <v/>
      </c>
      <c r="H149" s="7" t="str">
        <f>IF($B149="","",IF(OR(UPPER(IFERROR(VLOOKUP($B149,'Base de datos'!$A$3:$K$24,11,FALSE),""))="NO",ISNUMBER(SEARCH("no sometida",IFERROR(VLOOKUP($B149,'Base de datos'!$A$3:$K$24,10,FALSE),""))),ISNUMBER(SEARCH("no fiscal",IFERROR(VLOOKUP($B149,'Base de datos'!$A$3:$K$24,10,FALSE),"")))),"",IF(OR(ISNUMBER(SEARCH("Hach",$B149)),ISNUMBER(SEARCH("Ketamina",$B149))),"",IF(AND(IFERROR(VLOOKUP($B149,'Base de datos'!$A$3:$K$24,9,FALSE),"")&lt;&gt;"",IFERROR(VLOOKUP($B149,'Base de datos'!$A$3:$K$24,9,FALSE),"")&lt;&gt;0),$E149*IFERROR(VLOOKUP($B149,'Base de datos'!$A$3:$K$24,9,FALSE),""),IFERROR($O149*VLOOKUP($B149,'Base de datos'!$A$3:$K$24,4,FALSE),"")))))</f>
        <v/>
      </c>
      <c r="I149" s="5" t="str">
        <f>IFERROR(VLOOKUP($B149,'Base de datos'!$A$3:$K$24,7,FALSE),"")</f>
        <v/>
      </c>
      <c r="J149" s="13" t="str">
        <f>IFERROR(VLOOKUP($B149,'Base de datos'!$A$3:$K$24,10,FALSE),"")</f>
        <v/>
      </c>
      <c r="K149" s="6"/>
      <c r="L149" s="4"/>
      <c r="M149" s="6" t="str">
        <f>IF(OR(OR(UPPER(IFERROR(VLOOKUP($B149,'Base de datos'!$A$3:$K$24,11,FALSE),""))="NO",ISNUMBER(SEARCH("no sometida",IFERROR(VLOOKUP($B149,'Base de datos'!$A$3:$K$24,10,FALSE),""))),ISNUMBER(SEARCH("no fiscal",IFERROR(VLOOKUP($B149,'Base de datos'!$A$3:$K$24,10,FALSE),"")))),OR(ISNUMBER(SEARCH("Hach",$B149)),ISNUMBER(SEARCH("Ketamina",$B149))),AND(IFERROR(VLOOKUP($B149,'Base de datos'!$A$3:$K$24,9,FALSE),"")&lt;&gt;"",IFERROR(VLOOKUP($B149,'Base de datos'!$A$3:$K$24,9,FALSE),"")&lt;&gt;0)),"",IFERROR($E149*$C149/$I149,""))</f>
        <v/>
      </c>
      <c r="N149" s="6" t="str">
        <f>IF(OR(OR(UPPER(IFERROR(VLOOKUP($B149,'Base de datos'!$A$3:$K$24,11,FALSE),""))="NO",ISNUMBER(SEARCH("no sometida",IFERROR(VLOOKUP($B149,'Base de datos'!$A$3:$K$24,10,FALSE),""))),ISNUMBER(SEARCH("no fiscal",IFERROR(VLOOKUP($B149,'Base de datos'!$A$3:$K$24,10,FALSE),"")))),OR(ISNUMBER(SEARCH("Hach",$B149)),ISNUMBER(SEARCH("Ketamina",$B149))),AND(IFERROR(VLOOKUP($B149,'Base de datos'!$A$3:$K$24,9,FALSE),"")&lt;&gt;"",IFERROR(VLOOKUP($B149,'Base de datos'!$A$3:$K$24,9,FALSE),"")&lt;&gt;0)),"",IFERROR($E149*$C149/IFERROR(VLOOKUP($B149,'Base de datos'!$A$3:$K$24,5,FALSE),0),""))</f>
        <v/>
      </c>
      <c r="O149" s="6" t="str">
        <f>IF(OR(OR(UPPER(IFERROR(VLOOKUP($B149,'Base de datos'!$A$3:$K$24,11,FALSE),""))="NO",ISNUMBER(SEARCH("no sometida",IFERROR(VLOOKUP($B149,'Base de datos'!$A$3:$K$24,10,FALSE),""))),ISNUMBER(SEARCH("no fiscal",IFERROR(VLOOKUP($B149,'Base de datos'!$A$3:$K$24,10,FALSE),"")))),OR(ISNUMBER(SEARCH("Hach",$B149)),ISNUMBER(SEARCH("Ketamina",$B149))),AND(IFERROR(VLOOKUP($B149,'Base de datos'!$A$3:$K$24,9,FALSE),"")&lt;&gt;"",IFERROR(VLOOKUP($B149,'Base de datos'!$A$3:$K$24,9,FALSE),"")&lt;&gt;0)),"",IFERROR((($E149*$C149/IFERROR(VLOOKUP($B149,'Base de datos'!$A$3:$K$24,3,FALSE),0))*1000)/IFERROR(VLOOKUP($B149,'Base de datos'!$A$3:$K$24,2,FALSE),0),""))</f>
        <v/>
      </c>
    </row>
    <row r="150" spans="1:15" x14ac:dyDescent="0.25">
      <c r="A150" s="4"/>
      <c r="B150" s="4"/>
      <c r="C150" s="5" t="str">
        <f>IFERROR(VLOOKUP($B150,'Base de datos'!$A$3:$K$24,3,FALSE),"")</f>
        <v/>
      </c>
      <c r="D150" s="4" t="str">
        <f t="shared" si="4"/>
        <v/>
      </c>
      <c r="E150" s="6"/>
      <c r="F150" s="7" t="str">
        <f>IF($B150="","",IF(OR(UPPER(IFERROR(VLOOKUP($B150,'Base de datos'!$A$3:$K$24,11,FALSE),""))="NO",ISNUMBER(SEARCH("no sometida",IFERROR(VLOOKUP($B150,'Base de datos'!$A$3:$K$24,10,FALSE),""))),ISNUMBER(SEARCH("no fiscal",IFERROR(VLOOKUP($B150,'Base de datos'!$A$3:$K$24,10,FALSE),"")))),"",IF(OR(OR(ISNUMBER(SEARCH("Hach",$B150)),ISNUMBER(SEARCH("Ketamina",$B150))),AND(IFERROR(VLOOKUP($B150,'Base de datos'!$A$3:$K$24,9,FALSE),"")&lt;&gt;"",IFERROR(VLOOKUP($B150,'Base de datos'!$A$3:$K$24,9,FALSE),"")&lt;&gt;0)),"",IFERROR($M150*VLOOKUP($B150,'Base de datos'!$A$3:$K$24,8,FALSE)/1000,""))))</f>
        <v/>
      </c>
      <c r="G150" s="7" t="str">
        <f>IF($B150="","",IF(OR(UPPER(IFERROR(VLOOKUP($B150,'Base de datos'!$A$3:$K$24,11,FALSE),""))="NO",ISNUMBER(SEARCH("no sometida",IFERROR(VLOOKUP($B150,'Base de datos'!$A$3:$K$24,10,FALSE),""))),ISNUMBER(SEARCH("no fiscal",IFERROR(VLOOKUP($B150,'Base de datos'!$A$3:$K$24,10,FALSE),"")))),"",IFERROR(IF(OR(ISNUMBER(SEARCH("Hach",$B150)),ISNUMBER(SEARCH("Ketamina",$B150))),IF(VLOOKUP($B150,'Base de datos'!$A$3:$K$24,6,FALSE)="","",$E150*VLOOKUP($B150,'Base de datos'!$A$3:$K$24,6,FALSE)),IF(AND(IFERROR(VLOOKUP($B150,'Base de datos'!$A$3:$K$24,9,FALSE),"")&lt;&gt;"",IFERROR(VLOOKUP($B150,'Base de datos'!$A$3:$K$24,9,FALSE),"")&lt;&gt;0),"",IF(VLOOKUP($B150,'Base de datos'!$A$3:$K$24,6,FALSE)="","",$N150*VLOOKUP($B150,'Base de datos'!$A$3:$K$24,6,FALSE)))),"")))</f>
        <v/>
      </c>
      <c r="H150" s="7" t="str">
        <f>IF($B150="","",IF(OR(UPPER(IFERROR(VLOOKUP($B150,'Base de datos'!$A$3:$K$24,11,FALSE),""))="NO",ISNUMBER(SEARCH("no sometida",IFERROR(VLOOKUP($B150,'Base de datos'!$A$3:$K$24,10,FALSE),""))),ISNUMBER(SEARCH("no fiscal",IFERROR(VLOOKUP($B150,'Base de datos'!$A$3:$K$24,10,FALSE),"")))),"",IF(OR(ISNUMBER(SEARCH("Hach",$B150)),ISNUMBER(SEARCH("Ketamina",$B150))),"",IF(AND(IFERROR(VLOOKUP($B150,'Base de datos'!$A$3:$K$24,9,FALSE),"")&lt;&gt;"",IFERROR(VLOOKUP($B150,'Base de datos'!$A$3:$K$24,9,FALSE),"")&lt;&gt;0),$E150*IFERROR(VLOOKUP($B150,'Base de datos'!$A$3:$K$24,9,FALSE),""),IFERROR($O150*VLOOKUP($B150,'Base de datos'!$A$3:$K$24,4,FALSE),"")))))</f>
        <v/>
      </c>
      <c r="I150" s="5" t="str">
        <f>IFERROR(VLOOKUP($B150,'Base de datos'!$A$3:$K$24,7,FALSE),"")</f>
        <v/>
      </c>
      <c r="J150" s="13" t="str">
        <f>IFERROR(VLOOKUP($B150,'Base de datos'!$A$3:$K$24,10,FALSE),"")</f>
        <v/>
      </c>
      <c r="K150" s="6"/>
      <c r="L150" s="4"/>
      <c r="M150" s="6" t="str">
        <f>IF(OR(OR(UPPER(IFERROR(VLOOKUP($B150,'Base de datos'!$A$3:$K$24,11,FALSE),""))="NO",ISNUMBER(SEARCH("no sometida",IFERROR(VLOOKUP($B150,'Base de datos'!$A$3:$K$24,10,FALSE),""))),ISNUMBER(SEARCH("no fiscal",IFERROR(VLOOKUP($B150,'Base de datos'!$A$3:$K$24,10,FALSE),"")))),OR(ISNUMBER(SEARCH("Hach",$B150)),ISNUMBER(SEARCH("Ketamina",$B150))),AND(IFERROR(VLOOKUP($B150,'Base de datos'!$A$3:$K$24,9,FALSE),"")&lt;&gt;"",IFERROR(VLOOKUP($B150,'Base de datos'!$A$3:$K$24,9,FALSE),"")&lt;&gt;0)),"",IFERROR($E150*$C150/$I150,""))</f>
        <v/>
      </c>
      <c r="N150" s="6" t="str">
        <f>IF(OR(OR(UPPER(IFERROR(VLOOKUP($B150,'Base de datos'!$A$3:$K$24,11,FALSE),""))="NO",ISNUMBER(SEARCH("no sometida",IFERROR(VLOOKUP($B150,'Base de datos'!$A$3:$K$24,10,FALSE),""))),ISNUMBER(SEARCH("no fiscal",IFERROR(VLOOKUP($B150,'Base de datos'!$A$3:$K$24,10,FALSE),"")))),OR(ISNUMBER(SEARCH("Hach",$B150)),ISNUMBER(SEARCH("Ketamina",$B150))),AND(IFERROR(VLOOKUP($B150,'Base de datos'!$A$3:$K$24,9,FALSE),"")&lt;&gt;"",IFERROR(VLOOKUP($B150,'Base de datos'!$A$3:$K$24,9,FALSE),"")&lt;&gt;0)),"",IFERROR($E150*$C150/IFERROR(VLOOKUP($B150,'Base de datos'!$A$3:$K$24,5,FALSE),0),""))</f>
        <v/>
      </c>
      <c r="O150" s="6" t="str">
        <f>IF(OR(OR(UPPER(IFERROR(VLOOKUP($B150,'Base de datos'!$A$3:$K$24,11,FALSE),""))="NO",ISNUMBER(SEARCH("no sometida",IFERROR(VLOOKUP($B150,'Base de datos'!$A$3:$K$24,10,FALSE),""))),ISNUMBER(SEARCH("no fiscal",IFERROR(VLOOKUP($B150,'Base de datos'!$A$3:$K$24,10,FALSE),"")))),OR(ISNUMBER(SEARCH("Hach",$B150)),ISNUMBER(SEARCH("Ketamina",$B150))),AND(IFERROR(VLOOKUP($B150,'Base de datos'!$A$3:$K$24,9,FALSE),"")&lt;&gt;"",IFERROR(VLOOKUP($B150,'Base de datos'!$A$3:$K$24,9,FALSE),"")&lt;&gt;0)),"",IFERROR((($E150*$C150/IFERROR(VLOOKUP($B150,'Base de datos'!$A$3:$K$24,3,FALSE),0))*1000)/IFERROR(VLOOKUP($B150,'Base de datos'!$A$3:$K$24,2,FALSE),0),""))</f>
        <v/>
      </c>
    </row>
    <row r="151" spans="1:15" x14ac:dyDescent="0.25">
      <c r="A151" s="4"/>
      <c r="B151" s="4"/>
      <c r="C151" s="5" t="str">
        <f>IFERROR(VLOOKUP($B151,'Base de datos'!$A$3:$K$24,3,FALSE),"")</f>
        <v/>
      </c>
      <c r="D151" s="4" t="str">
        <f t="shared" si="4"/>
        <v/>
      </c>
      <c r="E151" s="6"/>
      <c r="F151" s="7" t="str">
        <f>IF($B151="","",IF(OR(UPPER(IFERROR(VLOOKUP($B151,'Base de datos'!$A$3:$K$24,11,FALSE),""))="NO",ISNUMBER(SEARCH("no sometida",IFERROR(VLOOKUP($B151,'Base de datos'!$A$3:$K$24,10,FALSE),""))),ISNUMBER(SEARCH("no fiscal",IFERROR(VLOOKUP($B151,'Base de datos'!$A$3:$K$24,10,FALSE),"")))),"",IF(OR(OR(ISNUMBER(SEARCH("Hach",$B151)),ISNUMBER(SEARCH("Ketamina",$B151))),AND(IFERROR(VLOOKUP($B151,'Base de datos'!$A$3:$K$24,9,FALSE),"")&lt;&gt;"",IFERROR(VLOOKUP($B151,'Base de datos'!$A$3:$K$24,9,FALSE),"")&lt;&gt;0)),"",IFERROR($M151*VLOOKUP($B151,'Base de datos'!$A$3:$K$24,8,FALSE)/1000,""))))</f>
        <v/>
      </c>
      <c r="G151" s="7" t="str">
        <f>IF($B151="","",IF(OR(UPPER(IFERROR(VLOOKUP($B151,'Base de datos'!$A$3:$K$24,11,FALSE),""))="NO",ISNUMBER(SEARCH("no sometida",IFERROR(VLOOKUP($B151,'Base de datos'!$A$3:$K$24,10,FALSE),""))),ISNUMBER(SEARCH("no fiscal",IFERROR(VLOOKUP($B151,'Base de datos'!$A$3:$K$24,10,FALSE),"")))),"",IFERROR(IF(OR(ISNUMBER(SEARCH("Hach",$B151)),ISNUMBER(SEARCH("Ketamina",$B151))),IF(VLOOKUP($B151,'Base de datos'!$A$3:$K$24,6,FALSE)="","",$E151*VLOOKUP($B151,'Base de datos'!$A$3:$K$24,6,FALSE)),IF(AND(IFERROR(VLOOKUP($B151,'Base de datos'!$A$3:$K$24,9,FALSE),"")&lt;&gt;"",IFERROR(VLOOKUP($B151,'Base de datos'!$A$3:$K$24,9,FALSE),"")&lt;&gt;0),"",IF(VLOOKUP($B151,'Base de datos'!$A$3:$K$24,6,FALSE)="","",$N151*VLOOKUP($B151,'Base de datos'!$A$3:$K$24,6,FALSE)))),"")))</f>
        <v/>
      </c>
      <c r="H151" s="7" t="str">
        <f>IF($B151="","",IF(OR(UPPER(IFERROR(VLOOKUP($B151,'Base de datos'!$A$3:$K$24,11,FALSE),""))="NO",ISNUMBER(SEARCH("no sometida",IFERROR(VLOOKUP($B151,'Base de datos'!$A$3:$K$24,10,FALSE),""))),ISNUMBER(SEARCH("no fiscal",IFERROR(VLOOKUP($B151,'Base de datos'!$A$3:$K$24,10,FALSE),"")))),"",IF(OR(ISNUMBER(SEARCH("Hach",$B151)),ISNUMBER(SEARCH("Ketamina",$B151))),"",IF(AND(IFERROR(VLOOKUP($B151,'Base de datos'!$A$3:$K$24,9,FALSE),"")&lt;&gt;"",IFERROR(VLOOKUP($B151,'Base de datos'!$A$3:$K$24,9,FALSE),"")&lt;&gt;0),$E151*IFERROR(VLOOKUP($B151,'Base de datos'!$A$3:$K$24,9,FALSE),""),IFERROR($O151*VLOOKUP($B151,'Base de datos'!$A$3:$K$24,4,FALSE),"")))))</f>
        <v/>
      </c>
      <c r="I151" s="5" t="str">
        <f>IFERROR(VLOOKUP($B151,'Base de datos'!$A$3:$K$24,7,FALSE),"")</f>
        <v/>
      </c>
      <c r="J151" s="13" t="str">
        <f>IFERROR(VLOOKUP($B151,'Base de datos'!$A$3:$K$24,10,FALSE),"")</f>
        <v/>
      </c>
      <c r="K151" s="6"/>
      <c r="L151" s="4"/>
      <c r="M151" s="6" t="str">
        <f>IF(OR(OR(UPPER(IFERROR(VLOOKUP($B151,'Base de datos'!$A$3:$K$24,11,FALSE),""))="NO",ISNUMBER(SEARCH("no sometida",IFERROR(VLOOKUP($B151,'Base de datos'!$A$3:$K$24,10,FALSE),""))),ISNUMBER(SEARCH("no fiscal",IFERROR(VLOOKUP($B151,'Base de datos'!$A$3:$K$24,10,FALSE),"")))),OR(ISNUMBER(SEARCH("Hach",$B151)),ISNUMBER(SEARCH("Ketamina",$B151))),AND(IFERROR(VLOOKUP($B151,'Base de datos'!$A$3:$K$24,9,FALSE),"")&lt;&gt;"",IFERROR(VLOOKUP($B151,'Base de datos'!$A$3:$K$24,9,FALSE),"")&lt;&gt;0)),"",IFERROR($E151*$C151/$I151,""))</f>
        <v/>
      </c>
      <c r="N151" s="6" t="str">
        <f>IF(OR(OR(UPPER(IFERROR(VLOOKUP($B151,'Base de datos'!$A$3:$K$24,11,FALSE),""))="NO",ISNUMBER(SEARCH("no sometida",IFERROR(VLOOKUP($B151,'Base de datos'!$A$3:$K$24,10,FALSE),""))),ISNUMBER(SEARCH("no fiscal",IFERROR(VLOOKUP($B151,'Base de datos'!$A$3:$K$24,10,FALSE),"")))),OR(ISNUMBER(SEARCH("Hach",$B151)),ISNUMBER(SEARCH("Ketamina",$B151))),AND(IFERROR(VLOOKUP($B151,'Base de datos'!$A$3:$K$24,9,FALSE),"")&lt;&gt;"",IFERROR(VLOOKUP($B151,'Base de datos'!$A$3:$K$24,9,FALSE),"")&lt;&gt;0)),"",IFERROR($E151*$C151/IFERROR(VLOOKUP($B151,'Base de datos'!$A$3:$K$24,5,FALSE),0),""))</f>
        <v/>
      </c>
      <c r="O151" s="6" t="str">
        <f>IF(OR(OR(UPPER(IFERROR(VLOOKUP($B151,'Base de datos'!$A$3:$K$24,11,FALSE),""))="NO",ISNUMBER(SEARCH("no sometida",IFERROR(VLOOKUP($B151,'Base de datos'!$A$3:$K$24,10,FALSE),""))),ISNUMBER(SEARCH("no fiscal",IFERROR(VLOOKUP($B151,'Base de datos'!$A$3:$K$24,10,FALSE),"")))),OR(ISNUMBER(SEARCH("Hach",$B151)),ISNUMBER(SEARCH("Ketamina",$B151))),AND(IFERROR(VLOOKUP($B151,'Base de datos'!$A$3:$K$24,9,FALSE),"")&lt;&gt;"",IFERROR(VLOOKUP($B151,'Base de datos'!$A$3:$K$24,9,FALSE),"")&lt;&gt;0)),"",IFERROR((($E151*$C151/IFERROR(VLOOKUP($B151,'Base de datos'!$A$3:$K$24,3,FALSE),0))*1000)/IFERROR(VLOOKUP($B151,'Base de datos'!$A$3:$K$24,2,FALSE),0),""))</f>
        <v/>
      </c>
    </row>
    <row r="152" spans="1:15" x14ac:dyDescent="0.25">
      <c r="A152" s="4"/>
      <c r="B152" s="4"/>
      <c r="C152" s="5" t="str">
        <f>IFERROR(VLOOKUP($B152,'Base de datos'!$A$3:$K$24,3,FALSE),"")</f>
        <v/>
      </c>
      <c r="D152" s="4" t="str">
        <f t="shared" si="4"/>
        <v/>
      </c>
      <c r="E152" s="6"/>
      <c r="F152" s="7" t="str">
        <f>IF($B152="","",IF(OR(UPPER(IFERROR(VLOOKUP($B152,'Base de datos'!$A$3:$K$24,11,FALSE),""))="NO",ISNUMBER(SEARCH("no sometida",IFERROR(VLOOKUP($B152,'Base de datos'!$A$3:$K$24,10,FALSE),""))),ISNUMBER(SEARCH("no fiscal",IFERROR(VLOOKUP($B152,'Base de datos'!$A$3:$K$24,10,FALSE),"")))),"",IF(OR(OR(ISNUMBER(SEARCH("Hach",$B152)),ISNUMBER(SEARCH("Ketamina",$B152))),AND(IFERROR(VLOOKUP($B152,'Base de datos'!$A$3:$K$24,9,FALSE),"")&lt;&gt;"",IFERROR(VLOOKUP($B152,'Base de datos'!$A$3:$K$24,9,FALSE),"")&lt;&gt;0)),"",IFERROR($M152*VLOOKUP($B152,'Base de datos'!$A$3:$K$24,8,FALSE)/1000,""))))</f>
        <v/>
      </c>
      <c r="G152" s="7" t="str">
        <f>IF($B152="","",IF(OR(UPPER(IFERROR(VLOOKUP($B152,'Base de datos'!$A$3:$K$24,11,FALSE),""))="NO",ISNUMBER(SEARCH("no sometida",IFERROR(VLOOKUP($B152,'Base de datos'!$A$3:$K$24,10,FALSE),""))),ISNUMBER(SEARCH("no fiscal",IFERROR(VLOOKUP($B152,'Base de datos'!$A$3:$K$24,10,FALSE),"")))),"",IFERROR(IF(OR(ISNUMBER(SEARCH("Hach",$B152)),ISNUMBER(SEARCH("Ketamina",$B152))),IF(VLOOKUP($B152,'Base de datos'!$A$3:$K$24,6,FALSE)="","",$E152*VLOOKUP($B152,'Base de datos'!$A$3:$K$24,6,FALSE)),IF(AND(IFERROR(VLOOKUP($B152,'Base de datos'!$A$3:$K$24,9,FALSE),"")&lt;&gt;"",IFERROR(VLOOKUP($B152,'Base de datos'!$A$3:$K$24,9,FALSE),"")&lt;&gt;0),"",IF(VLOOKUP($B152,'Base de datos'!$A$3:$K$24,6,FALSE)="","",$N152*VLOOKUP($B152,'Base de datos'!$A$3:$K$24,6,FALSE)))),"")))</f>
        <v/>
      </c>
      <c r="H152" s="7" t="str">
        <f>IF($B152="","",IF(OR(UPPER(IFERROR(VLOOKUP($B152,'Base de datos'!$A$3:$K$24,11,FALSE),""))="NO",ISNUMBER(SEARCH("no sometida",IFERROR(VLOOKUP($B152,'Base de datos'!$A$3:$K$24,10,FALSE),""))),ISNUMBER(SEARCH("no fiscal",IFERROR(VLOOKUP($B152,'Base de datos'!$A$3:$K$24,10,FALSE),"")))),"",IF(OR(ISNUMBER(SEARCH("Hach",$B152)),ISNUMBER(SEARCH("Ketamina",$B152))),"",IF(AND(IFERROR(VLOOKUP($B152,'Base de datos'!$A$3:$K$24,9,FALSE),"")&lt;&gt;"",IFERROR(VLOOKUP($B152,'Base de datos'!$A$3:$K$24,9,FALSE),"")&lt;&gt;0),$E152*IFERROR(VLOOKUP($B152,'Base de datos'!$A$3:$K$24,9,FALSE),""),IFERROR($O152*VLOOKUP($B152,'Base de datos'!$A$3:$K$24,4,FALSE),"")))))</f>
        <v/>
      </c>
      <c r="I152" s="5" t="str">
        <f>IFERROR(VLOOKUP($B152,'Base de datos'!$A$3:$K$24,7,FALSE),"")</f>
        <v/>
      </c>
      <c r="J152" s="13" t="str">
        <f>IFERROR(VLOOKUP($B152,'Base de datos'!$A$3:$K$24,10,FALSE),"")</f>
        <v/>
      </c>
      <c r="K152" s="6"/>
      <c r="L152" s="4"/>
      <c r="M152" s="6" t="str">
        <f>IF(OR(OR(UPPER(IFERROR(VLOOKUP($B152,'Base de datos'!$A$3:$K$24,11,FALSE),""))="NO",ISNUMBER(SEARCH("no sometida",IFERROR(VLOOKUP($B152,'Base de datos'!$A$3:$K$24,10,FALSE),""))),ISNUMBER(SEARCH("no fiscal",IFERROR(VLOOKUP($B152,'Base de datos'!$A$3:$K$24,10,FALSE),"")))),OR(ISNUMBER(SEARCH("Hach",$B152)),ISNUMBER(SEARCH("Ketamina",$B152))),AND(IFERROR(VLOOKUP($B152,'Base de datos'!$A$3:$K$24,9,FALSE),"")&lt;&gt;"",IFERROR(VLOOKUP($B152,'Base de datos'!$A$3:$K$24,9,FALSE),"")&lt;&gt;0)),"",IFERROR($E152*$C152/$I152,""))</f>
        <v/>
      </c>
      <c r="N152" s="6" t="str">
        <f>IF(OR(OR(UPPER(IFERROR(VLOOKUP($B152,'Base de datos'!$A$3:$K$24,11,FALSE),""))="NO",ISNUMBER(SEARCH("no sometida",IFERROR(VLOOKUP($B152,'Base de datos'!$A$3:$K$24,10,FALSE),""))),ISNUMBER(SEARCH("no fiscal",IFERROR(VLOOKUP($B152,'Base de datos'!$A$3:$K$24,10,FALSE),"")))),OR(ISNUMBER(SEARCH("Hach",$B152)),ISNUMBER(SEARCH("Ketamina",$B152))),AND(IFERROR(VLOOKUP($B152,'Base de datos'!$A$3:$K$24,9,FALSE),"")&lt;&gt;"",IFERROR(VLOOKUP($B152,'Base de datos'!$A$3:$K$24,9,FALSE),"")&lt;&gt;0)),"",IFERROR($E152*$C152/IFERROR(VLOOKUP($B152,'Base de datos'!$A$3:$K$24,5,FALSE),0),""))</f>
        <v/>
      </c>
      <c r="O152" s="6" t="str">
        <f>IF(OR(OR(UPPER(IFERROR(VLOOKUP($B152,'Base de datos'!$A$3:$K$24,11,FALSE),""))="NO",ISNUMBER(SEARCH("no sometida",IFERROR(VLOOKUP($B152,'Base de datos'!$A$3:$K$24,10,FALSE),""))),ISNUMBER(SEARCH("no fiscal",IFERROR(VLOOKUP($B152,'Base de datos'!$A$3:$K$24,10,FALSE),"")))),OR(ISNUMBER(SEARCH("Hach",$B152)),ISNUMBER(SEARCH("Ketamina",$B152))),AND(IFERROR(VLOOKUP($B152,'Base de datos'!$A$3:$K$24,9,FALSE),"")&lt;&gt;"",IFERROR(VLOOKUP($B152,'Base de datos'!$A$3:$K$24,9,FALSE),"")&lt;&gt;0)),"",IFERROR((($E152*$C152/IFERROR(VLOOKUP($B152,'Base de datos'!$A$3:$K$24,3,FALSE),0))*1000)/IFERROR(VLOOKUP($B152,'Base de datos'!$A$3:$K$24,2,FALSE),0),""))</f>
        <v/>
      </c>
    </row>
    <row r="153" spans="1:15" x14ac:dyDescent="0.25">
      <c r="A153" s="4"/>
      <c r="B153" s="4"/>
      <c r="C153" s="5" t="str">
        <f>IFERROR(VLOOKUP($B153,'Base de datos'!$A$3:$K$24,3,FALSE),"")</f>
        <v/>
      </c>
      <c r="D153" s="4" t="str">
        <f t="shared" si="4"/>
        <v/>
      </c>
      <c r="E153" s="6"/>
      <c r="F153" s="7" t="str">
        <f>IF($B153="","",IF(OR(UPPER(IFERROR(VLOOKUP($B153,'Base de datos'!$A$3:$K$24,11,FALSE),""))="NO",ISNUMBER(SEARCH("no sometida",IFERROR(VLOOKUP($B153,'Base de datos'!$A$3:$K$24,10,FALSE),""))),ISNUMBER(SEARCH("no fiscal",IFERROR(VLOOKUP($B153,'Base de datos'!$A$3:$K$24,10,FALSE),"")))),"",IF(OR(OR(ISNUMBER(SEARCH("Hach",$B153)),ISNUMBER(SEARCH("Ketamina",$B153))),AND(IFERROR(VLOOKUP($B153,'Base de datos'!$A$3:$K$24,9,FALSE),"")&lt;&gt;"",IFERROR(VLOOKUP($B153,'Base de datos'!$A$3:$K$24,9,FALSE),"")&lt;&gt;0)),"",IFERROR($M153*VLOOKUP($B153,'Base de datos'!$A$3:$K$24,8,FALSE)/1000,""))))</f>
        <v/>
      </c>
      <c r="G153" s="7" t="str">
        <f>IF($B153="","",IF(OR(UPPER(IFERROR(VLOOKUP($B153,'Base de datos'!$A$3:$K$24,11,FALSE),""))="NO",ISNUMBER(SEARCH("no sometida",IFERROR(VLOOKUP($B153,'Base de datos'!$A$3:$K$24,10,FALSE),""))),ISNUMBER(SEARCH("no fiscal",IFERROR(VLOOKUP($B153,'Base de datos'!$A$3:$K$24,10,FALSE),"")))),"",IFERROR(IF(OR(ISNUMBER(SEARCH("Hach",$B153)),ISNUMBER(SEARCH("Ketamina",$B153))),IF(VLOOKUP($B153,'Base de datos'!$A$3:$K$24,6,FALSE)="","",$E153*VLOOKUP($B153,'Base de datos'!$A$3:$K$24,6,FALSE)),IF(AND(IFERROR(VLOOKUP($B153,'Base de datos'!$A$3:$K$24,9,FALSE),"")&lt;&gt;"",IFERROR(VLOOKUP($B153,'Base de datos'!$A$3:$K$24,9,FALSE),"")&lt;&gt;0),"",IF(VLOOKUP($B153,'Base de datos'!$A$3:$K$24,6,FALSE)="","",$N153*VLOOKUP($B153,'Base de datos'!$A$3:$K$24,6,FALSE)))),"")))</f>
        <v/>
      </c>
      <c r="H153" s="7" t="str">
        <f>IF($B153="","",IF(OR(UPPER(IFERROR(VLOOKUP($B153,'Base de datos'!$A$3:$K$24,11,FALSE),""))="NO",ISNUMBER(SEARCH("no sometida",IFERROR(VLOOKUP($B153,'Base de datos'!$A$3:$K$24,10,FALSE),""))),ISNUMBER(SEARCH("no fiscal",IFERROR(VLOOKUP($B153,'Base de datos'!$A$3:$K$24,10,FALSE),"")))),"",IF(OR(ISNUMBER(SEARCH("Hach",$B153)),ISNUMBER(SEARCH("Ketamina",$B153))),"",IF(AND(IFERROR(VLOOKUP($B153,'Base de datos'!$A$3:$K$24,9,FALSE),"")&lt;&gt;"",IFERROR(VLOOKUP($B153,'Base de datos'!$A$3:$K$24,9,FALSE),"")&lt;&gt;0),$E153*IFERROR(VLOOKUP($B153,'Base de datos'!$A$3:$K$24,9,FALSE),""),IFERROR($O153*VLOOKUP($B153,'Base de datos'!$A$3:$K$24,4,FALSE),"")))))</f>
        <v/>
      </c>
      <c r="I153" s="5" t="str">
        <f>IFERROR(VLOOKUP($B153,'Base de datos'!$A$3:$K$24,7,FALSE),"")</f>
        <v/>
      </c>
      <c r="J153" s="13" t="str">
        <f>IFERROR(VLOOKUP($B153,'Base de datos'!$A$3:$K$24,10,FALSE),"")</f>
        <v/>
      </c>
      <c r="K153" s="6"/>
      <c r="L153" s="4"/>
      <c r="M153" s="6" t="str">
        <f>IF(OR(OR(UPPER(IFERROR(VLOOKUP($B153,'Base de datos'!$A$3:$K$24,11,FALSE),""))="NO",ISNUMBER(SEARCH("no sometida",IFERROR(VLOOKUP($B153,'Base de datos'!$A$3:$K$24,10,FALSE),""))),ISNUMBER(SEARCH("no fiscal",IFERROR(VLOOKUP($B153,'Base de datos'!$A$3:$K$24,10,FALSE),"")))),OR(ISNUMBER(SEARCH("Hach",$B153)),ISNUMBER(SEARCH("Ketamina",$B153))),AND(IFERROR(VLOOKUP($B153,'Base de datos'!$A$3:$K$24,9,FALSE),"")&lt;&gt;"",IFERROR(VLOOKUP($B153,'Base de datos'!$A$3:$K$24,9,FALSE),"")&lt;&gt;0)),"",IFERROR($E153*$C153/$I153,""))</f>
        <v/>
      </c>
      <c r="N153" s="6" t="str">
        <f>IF(OR(OR(UPPER(IFERROR(VLOOKUP($B153,'Base de datos'!$A$3:$K$24,11,FALSE),""))="NO",ISNUMBER(SEARCH("no sometida",IFERROR(VLOOKUP($B153,'Base de datos'!$A$3:$K$24,10,FALSE),""))),ISNUMBER(SEARCH("no fiscal",IFERROR(VLOOKUP($B153,'Base de datos'!$A$3:$K$24,10,FALSE),"")))),OR(ISNUMBER(SEARCH("Hach",$B153)),ISNUMBER(SEARCH("Ketamina",$B153))),AND(IFERROR(VLOOKUP($B153,'Base de datos'!$A$3:$K$24,9,FALSE),"")&lt;&gt;"",IFERROR(VLOOKUP($B153,'Base de datos'!$A$3:$K$24,9,FALSE),"")&lt;&gt;0)),"",IFERROR($E153*$C153/IFERROR(VLOOKUP($B153,'Base de datos'!$A$3:$K$24,5,FALSE),0),""))</f>
        <v/>
      </c>
      <c r="O153" s="6" t="str">
        <f>IF(OR(OR(UPPER(IFERROR(VLOOKUP($B153,'Base de datos'!$A$3:$K$24,11,FALSE),""))="NO",ISNUMBER(SEARCH("no sometida",IFERROR(VLOOKUP($B153,'Base de datos'!$A$3:$K$24,10,FALSE),""))),ISNUMBER(SEARCH("no fiscal",IFERROR(VLOOKUP($B153,'Base de datos'!$A$3:$K$24,10,FALSE),"")))),OR(ISNUMBER(SEARCH("Hach",$B153)),ISNUMBER(SEARCH("Ketamina",$B153))),AND(IFERROR(VLOOKUP($B153,'Base de datos'!$A$3:$K$24,9,FALSE),"")&lt;&gt;"",IFERROR(VLOOKUP($B153,'Base de datos'!$A$3:$K$24,9,FALSE),"")&lt;&gt;0)),"",IFERROR((($E153*$C153/IFERROR(VLOOKUP($B153,'Base de datos'!$A$3:$K$24,3,FALSE),0))*1000)/IFERROR(VLOOKUP($B153,'Base de datos'!$A$3:$K$24,2,FALSE),0),""))</f>
        <v/>
      </c>
    </row>
    <row r="154" spans="1:15" x14ac:dyDescent="0.25">
      <c r="A154" s="4"/>
      <c r="B154" s="4"/>
      <c r="C154" s="5" t="str">
        <f>IFERROR(VLOOKUP($B154,'Base de datos'!$A$3:$K$24,3,FALSE),"")</f>
        <v/>
      </c>
      <c r="D154" s="4" t="str">
        <f t="shared" si="4"/>
        <v/>
      </c>
      <c r="E154" s="6"/>
      <c r="F154" s="7" t="str">
        <f>IF($B154="","",IF(OR(UPPER(IFERROR(VLOOKUP($B154,'Base de datos'!$A$3:$K$24,11,FALSE),""))="NO",ISNUMBER(SEARCH("no sometida",IFERROR(VLOOKUP($B154,'Base de datos'!$A$3:$K$24,10,FALSE),""))),ISNUMBER(SEARCH("no fiscal",IFERROR(VLOOKUP($B154,'Base de datos'!$A$3:$K$24,10,FALSE),"")))),"",IF(OR(OR(ISNUMBER(SEARCH("Hach",$B154)),ISNUMBER(SEARCH("Ketamina",$B154))),AND(IFERROR(VLOOKUP($B154,'Base de datos'!$A$3:$K$24,9,FALSE),"")&lt;&gt;"",IFERROR(VLOOKUP($B154,'Base de datos'!$A$3:$K$24,9,FALSE),"")&lt;&gt;0)),"",IFERROR($M154*VLOOKUP($B154,'Base de datos'!$A$3:$K$24,8,FALSE)/1000,""))))</f>
        <v/>
      </c>
      <c r="G154" s="7" t="str">
        <f>IF($B154="","",IF(OR(UPPER(IFERROR(VLOOKUP($B154,'Base de datos'!$A$3:$K$24,11,FALSE),""))="NO",ISNUMBER(SEARCH("no sometida",IFERROR(VLOOKUP($B154,'Base de datos'!$A$3:$K$24,10,FALSE),""))),ISNUMBER(SEARCH("no fiscal",IFERROR(VLOOKUP($B154,'Base de datos'!$A$3:$K$24,10,FALSE),"")))),"",IFERROR(IF(OR(ISNUMBER(SEARCH("Hach",$B154)),ISNUMBER(SEARCH("Ketamina",$B154))),IF(VLOOKUP($B154,'Base de datos'!$A$3:$K$24,6,FALSE)="","",$E154*VLOOKUP($B154,'Base de datos'!$A$3:$K$24,6,FALSE)),IF(AND(IFERROR(VLOOKUP($B154,'Base de datos'!$A$3:$K$24,9,FALSE),"")&lt;&gt;"",IFERROR(VLOOKUP($B154,'Base de datos'!$A$3:$K$24,9,FALSE),"")&lt;&gt;0),"",IF(VLOOKUP($B154,'Base de datos'!$A$3:$K$24,6,FALSE)="","",$N154*VLOOKUP($B154,'Base de datos'!$A$3:$K$24,6,FALSE)))),"")))</f>
        <v/>
      </c>
      <c r="H154" s="7" t="str">
        <f>IF($B154="","",IF(OR(UPPER(IFERROR(VLOOKUP($B154,'Base de datos'!$A$3:$K$24,11,FALSE),""))="NO",ISNUMBER(SEARCH("no sometida",IFERROR(VLOOKUP($B154,'Base de datos'!$A$3:$K$24,10,FALSE),""))),ISNUMBER(SEARCH("no fiscal",IFERROR(VLOOKUP($B154,'Base de datos'!$A$3:$K$24,10,FALSE),"")))),"",IF(OR(ISNUMBER(SEARCH("Hach",$B154)),ISNUMBER(SEARCH("Ketamina",$B154))),"",IF(AND(IFERROR(VLOOKUP($B154,'Base de datos'!$A$3:$K$24,9,FALSE),"")&lt;&gt;"",IFERROR(VLOOKUP($B154,'Base de datos'!$A$3:$K$24,9,FALSE),"")&lt;&gt;0),$E154*IFERROR(VLOOKUP($B154,'Base de datos'!$A$3:$K$24,9,FALSE),""),IFERROR($O154*VLOOKUP($B154,'Base de datos'!$A$3:$K$24,4,FALSE),"")))))</f>
        <v/>
      </c>
      <c r="I154" s="5" t="str">
        <f>IFERROR(VLOOKUP($B154,'Base de datos'!$A$3:$K$24,7,FALSE),"")</f>
        <v/>
      </c>
      <c r="J154" s="13" t="str">
        <f>IFERROR(VLOOKUP($B154,'Base de datos'!$A$3:$K$24,10,FALSE),"")</f>
        <v/>
      </c>
      <c r="K154" s="6"/>
      <c r="L154" s="4"/>
      <c r="M154" s="6" t="str">
        <f>IF(OR(OR(UPPER(IFERROR(VLOOKUP($B154,'Base de datos'!$A$3:$K$24,11,FALSE),""))="NO",ISNUMBER(SEARCH("no sometida",IFERROR(VLOOKUP($B154,'Base de datos'!$A$3:$K$24,10,FALSE),""))),ISNUMBER(SEARCH("no fiscal",IFERROR(VLOOKUP($B154,'Base de datos'!$A$3:$K$24,10,FALSE),"")))),OR(ISNUMBER(SEARCH("Hach",$B154)),ISNUMBER(SEARCH("Ketamina",$B154))),AND(IFERROR(VLOOKUP($B154,'Base de datos'!$A$3:$K$24,9,FALSE),"")&lt;&gt;"",IFERROR(VLOOKUP($B154,'Base de datos'!$A$3:$K$24,9,FALSE),"")&lt;&gt;0)),"",IFERROR($E154*$C154/$I154,""))</f>
        <v/>
      </c>
      <c r="N154" s="6" t="str">
        <f>IF(OR(OR(UPPER(IFERROR(VLOOKUP($B154,'Base de datos'!$A$3:$K$24,11,FALSE),""))="NO",ISNUMBER(SEARCH("no sometida",IFERROR(VLOOKUP($B154,'Base de datos'!$A$3:$K$24,10,FALSE),""))),ISNUMBER(SEARCH("no fiscal",IFERROR(VLOOKUP($B154,'Base de datos'!$A$3:$K$24,10,FALSE),"")))),OR(ISNUMBER(SEARCH("Hach",$B154)),ISNUMBER(SEARCH("Ketamina",$B154))),AND(IFERROR(VLOOKUP($B154,'Base de datos'!$A$3:$K$24,9,FALSE),"")&lt;&gt;"",IFERROR(VLOOKUP($B154,'Base de datos'!$A$3:$K$24,9,FALSE),"")&lt;&gt;0)),"",IFERROR($E154*$C154/IFERROR(VLOOKUP($B154,'Base de datos'!$A$3:$K$24,5,FALSE),0),""))</f>
        <v/>
      </c>
      <c r="O154" s="6" t="str">
        <f>IF(OR(OR(UPPER(IFERROR(VLOOKUP($B154,'Base de datos'!$A$3:$K$24,11,FALSE),""))="NO",ISNUMBER(SEARCH("no sometida",IFERROR(VLOOKUP($B154,'Base de datos'!$A$3:$K$24,10,FALSE),""))),ISNUMBER(SEARCH("no fiscal",IFERROR(VLOOKUP($B154,'Base de datos'!$A$3:$K$24,10,FALSE),"")))),OR(ISNUMBER(SEARCH("Hach",$B154)),ISNUMBER(SEARCH("Ketamina",$B154))),AND(IFERROR(VLOOKUP($B154,'Base de datos'!$A$3:$K$24,9,FALSE),"")&lt;&gt;"",IFERROR(VLOOKUP($B154,'Base de datos'!$A$3:$K$24,9,FALSE),"")&lt;&gt;0)),"",IFERROR((($E154*$C154/IFERROR(VLOOKUP($B154,'Base de datos'!$A$3:$K$24,3,FALSE),0))*1000)/IFERROR(VLOOKUP($B154,'Base de datos'!$A$3:$K$24,2,FALSE),0),""))</f>
        <v/>
      </c>
    </row>
    <row r="155" spans="1:15" x14ac:dyDescent="0.25">
      <c r="A155" s="4"/>
      <c r="B155" s="4"/>
      <c r="C155" s="5" t="str">
        <f>IFERROR(VLOOKUP($B155,'Base de datos'!$A$3:$K$24,3,FALSE),"")</f>
        <v/>
      </c>
      <c r="D155" s="4" t="str">
        <f t="shared" si="4"/>
        <v/>
      </c>
      <c r="E155" s="6"/>
      <c r="F155" s="7" t="str">
        <f>IF($B155="","",IF(OR(UPPER(IFERROR(VLOOKUP($B155,'Base de datos'!$A$3:$K$24,11,FALSE),""))="NO",ISNUMBER(SEARCH("no sometida",IFERROR(VLOOKUP($B155,'Base de datos'!$A$3:$K$24,10,FALSE),""))),ISNUMBER(SEARCH("no fiscal",IFERROR(VLOOKUP($B155,'Base de datos'!$A$3:$K$24,10,FALSE),"")))),"",IF(OR(OR(ISNUMBER(SEARCH("Hach",$B155)),ISNUMBER(SEARCH("Ketamina",$B155))),AND(IFERROR(VLOOKUP($B155,'Base de datos'!$A$3:$K$24,9,FALSE),"")&lt;&gt;"",IFERROR(VLOOKUP($B155,'Base de datos'!$A$3:$K$24,9,FALSE),"")&lt;&gt;0)),"",IFERROR($M155*VLOOKUP($B155,'Base de datos'!$A$3:$K$24,8,FALSE)/1000,""))))</f>
        <v/>
      </c>
      <c r="G155" s="7" t="str">
        <f>IF($B155="","",IF(OR(UPPER(IFERROR(VLOOKUP($B155,'Base de datos'!$A$3:$K$24,11,FALSE),""))="NO",ISNUMBER(SEARCH("no sometida",IFERROR(VLOOKUP($B155,'Base de datos'!$A$3:$K$24,10,FALSE),""))),ISNUMBER(SEARCH("no fiscal",IFERROR(VLOOKUP($B155,'Base de datos'!$A$3:$K$24,10,FALSE),"")))),"",IFERROR(IF(OR(ISNUMBER(SEARCH("Hach",$B155)),ISNUMBER(SEARCH("Ketamina",$B155))),IF(VLOOKUP($B155,'Base de datos'!$A$3:$K$24,6,FALSE)="","",$E155*VLOOKUP($B155,'Base de datos'!$A$3:$K$24,6,FALSE)),IF(AND(IFERROR(VLOOKUP($B155,'Base de datos'!$A$3:$K$24,9,FALSE),"")&lt;&gt;"",IFERROR(VLOOKUP($B155,'Base de datos'!$A$3:$K$24,9,FALSE),"")&lt;&gt;0),"",IF(VLOOKUP($B155,'Base de datos'!$A$3:$K$24,6,FALSE)="","",$N155*VLOOKUP($B155,'Base de datos'!$A$3:$K$24,6,FALSE)))),"")))</f>
        <v/>
      </c>
      <c r="H155" s="7" t="str">
        <f>IF($B155="","",IF(OR(UPPER(IFERROR(VLOOKUP($B155,'Base de datos'!$A$3:$K$24,11,FALSE),""))="NO",ISNUMBER(SEARCH("no sometida",IFERROR(VLOOKUP($B155,'Base de datos'!$A$3:$K$24,10,FALSE),""))),ISNUMBER(SEARCH("no fiscal",IFERROR(VLOOKUP($B155,'Base de datos'!$A$3:$K$24,10,FALSE),"")))),"",IF(OR(ISNUMBER(SEARCH("Hach",$B155)),ISNUMBER(SEARCH("Ketamina",$B155))),"",IF(AND(IFERROR(VLOOKUP($B155,'Base de datos'!$A$3:$K$24,9,FALSE),"")&lt;&gt;"",IFERROR(VLOOKUP($B155,'Base de datos'!$A$3:$K$24,9,FALSE),"")&lt;&gt;0),$E155*IFERROR(VLOOKUP($B155,'Base de datos'!$A$3:$K$24,9,FALSE),""),IFERROR($O155*VLOOKUP($B155,'Base de datos'!$A$3:$K$24,4,FALSE),"")))))</f>
        <v/>
      </c>
      <c r="I155" s="5" t="str">
        <f>IFERROR(VLOOKUP($B155,'Base de datos'!$A$3:$K$24,7,FALSE),"")</f>
        <v/>
      </c>
      <c r="J155" s="13" t="str">
        <f>IFERROR(VLOOKUP($B155,'Base de datos'!$A$3:$K$24,10,FALSE),"")</f>
        <v/>
      </c>
      <c r="K155" s="6"/>
      <c r="L155" s="4"/>
      <c r="M155" s="6" t="str">
        <f>IF(OR(OR(UPPER(IFERROR(VLOOKUP($B155,'Base de datos'!$A$3:$K$24,11,FALSE),""))="NO",ISNUMBER(SEARCH("no sometida",IFERROR(VLOOKUP($B155,'Base de datos'!$A$3:$K$24,10,FALSE),""))),ISNUMBER(SEARCH("no fiscal",IFERROR(VLOOKUP($B155,'Base de datos'!$A$3:$K$24,10,FALSE),"")))),OR(ISNUMBER(SEARCH("Hach",$B155)),ISNUMBER(SEARCH("Ketamina",$B155))),AND(IFERROR(VLOOKUP($B155,'Base de datos'!$A$3:$K$24,9,FALSE),"")&lt;&gt;"",IFERROR(VLOOKUP($B155,'Base de datos'!$A$3:$K$24,9,FALSE),"")&lt;&gt;0)),"",IFERROR($E155*$C155/$I155,""))</f>
        <v/>
      </c>
      <c r="N155" s="6" t="str">
        <f>IF(OR(OR(UPPER(IFERROR(VLOOKUP($B155,'Base de datos'!$A$3:$K$24,11,FALSE),""))="NO",ISNUMBER(SEARCH("no sometida",IFERROR(VLOOKUP($B155,'Base de datos'!$A$3:$K$24,10,FALSE),""))),ISNUMBER(SEARCH("no fiscal",IFERROR(VLOOKUP($B155,'Base de datos'!$A$3:$K$24,10,FALSE),"")))),OR(ISNUMBER(SEARCH("Hach",$B155)),ISNUMBER(SEARCH("Ketamina",$B155))),AND(IFERROR(VLOOKUP($B155,'Base de datos'!$A$3:$K$24,9,FALSE),"")&lt;&gt;"",IFERROR(VLOOKUP($B155,'Base de datos'!$A$3:$K$24,9,FALSE),"")&lt;&gt;0)),"",IFERROR($E155*$C155/IFERROR(VLOOKUP($B155,'Base de datos'!$A$3:$K$24,5,FALSE),0),""))</f>
        <v/>
      </c>
      <c r="O155" s="6" t="str">
        <f>IF(OR(OR(UPPER(IFERROR(VLOOKUP($B155,'Base de datos'!$A$3:$K$24,11,FALSE),""))="NO",ISNUMBER(SEARCH("no sometida",IFERROR(VLOOKUP($B155,'Base de datos'!$A$3:$K$24,10,FALSE),""))),ISNUMBER(SEARCH("no fiscal",IFERROR(VLOOKUP($B155,'Base de datos'!$A$3:$K$24,10,FALSE),"")))),OR(ISNUMBER(SEARCH("Hach",$B155)),ISNUMBER(SEARCH("Ketamina",$B155))),AND(IFERROR(VLOOKUP($B155,'Base de datos'!$A$3:$K$24,9,FALSE),"")&lt;&gt;"",IFERROR(VLOOKUP($B155,'Base de datos'!$A$3:$K$24,9,FALSE),"")&lt;&gt;0)),"",IFERROR((($E155*$C155/IFERROR(VLOOKUP($B155,'Base de datos'!$A$3:$K$24,3,FALSE),0))*1000)/IFERROR(VLOOKUP($B155,'Base de datos'!$A$3:$K$24,2,FALSE),0),""))</f>
        <v/>
      </c>
    </row>
    <row r="156" spans="1:15" x14ac:dyDescent="0.25">
      <c r="A156" s="4"/>
      <c r="B156" s="4"/>
      <c r="C156" s="5" t="str">
        <f>IFERROR(VLOOKUP($B156,'Base de datos'!$A$3:$K$24,3,FALSE),"")</f>
        <v/>
      </c>
      <c r="D156" s="4" t="str">
        <f t="shared" si="4"/>
        <v/>
      </c>
      <c r="E156" s="6"/>
      <c r="F156" s="7" t="str">
        <f>IF($B156="","",IF(OR(UPPER(IFERROR(VLOOKUP($B156,'Base de datos'!$A$3:$K$24,11,FALSE),""))="NO",ISNUMBER(SEARCH("no sometida",IFERROR(VLOOKUP($B156,'Base de datos'!$A$3:$K$24,10,FALSE),""))),ISNUMBER(SEARCH("no fiscal",IFERROR(VLOOKUP($B156,'Base de datos'!$A$3:$K$24,10,FALSE),"")))),"",IF(OR(OR(ISNUMBER(SEARCH("Hach",$B156)),ISNUMBER(SEARCH("Ketamina",$B156))),AND(IFERROR(VLOOKUP($B156,'Base de datos'!$A$3:$K$24,9,FALSE),"")&lt;&gt;"",IFERROR(VLOOKUP($B156,'Base de datos'!$A$3:$K$24,9,FALSE),"")&lt;&gt;0)),"",IFERROR($M156*VLOOKUP($B156,'Base de datos'!$A$3:$K$24,8,FALSE)/1000,""))))</f>
        <v/>
      </c>
      <c r="G156" s="7" t="str">
        <f>IF($B156="","",IF(OR(UPPER(IFERROR(VLOOKUP($B156,'Base de datos'!$A$3:$K$24,11,FALSE),""))="NO",ISNUMBER(SEARCH("no sometida",IFERROR(VLOOKUP($B156,'Base de datos'!$A$3:$K$24,10,FALSE),""))),ISNUMBER(SEARCH("no fiscal",IFERROR(VLOOKUP($B156,'Base de datos'!$A$3:$K$24,10,FALSE),"")))),"",IFERROR(IF(OR(ISNUMBER(SEARCH("Hach",$B156)),ISNUMBER(SEARCH("Ketamina",$B156))),IF(VLOOKUP($B156,'Base de datos'!$A$3:$K$24,6,FALSE)="","",$E156*VLOOKUP($B156,'Base de datos'!$A$3:$K$24,6,FALSE)),IF(AND(IFERROR(VLOOKUP($B156,'Base de datos'!$A$3:$K$24,9,FALSE),"")&lt;&gt;"",IFERROR(VLOOKUP($B156,'Base de datos'!$A$3:$K$24,9,FALSE),"")&lt;&gt;0),"",IF(VLOOKUP($B156,'Base de datos'!$A$3:$K$24,6,FALSE)="","",$N156*VLOOKUP($B156,'Base de datos'!$A$3:$K$24,6,FALSE)))),"")))</f>
        <v/>
      </c>
      <c r="H156" s="7" t="str">
        <f>IF($B156="","",IF(OR(UPPER(IFERROR(VLOOKUP($B156,'Base de datos'!$A$3:$K$24,11,FALSE),""))="NO",ISNUMBER(SEARCH("no sometida",IFERROR(VLOOKUP($B156,'Base de datos'!$A$3:$K$24,10,FALSE),""))),ISNUMBER(SEARCH("no fiscal",IFERROR(VLOOKUP($B156,'Base de datos'!$A$3:$K$24,10,FALSE),"")))),"",IF(OR(ISNUMBER(SEARCH("Hach",$B156)),ISNUMBER(SEARCH("Ketamina",$B156))),"",IF(AND(IFERROR(VLOOKUP($B156,'Base de datos'!$A$3:$K$24,9,FALSE),"")&lt;&gt;"",IFERROR(VLOOKUP($B156,'Base de datos'!$A$3:$K$24,9,FALSE),"")&lt;&gt;0),$E156*IFERROR(VLOOKUP($B156,'Base de datos'!$A$3:$K$24,9,FALSE),""),IFERROR($O156*VLOOKUP($B156,'Base de datos'!$A$3:$K$24,4,FALSE),"")))))</f>
        <v/>
      </c>
      <c r="I156" s="5" t="str">
        <f>IFERROR(VLOOKUP($B156,'Base de datos'!$A$3:$K$24,7,FALSE),"")</f>
        <v/>
      </c>
      <c r="J156" s="13" t="str">
        <f>IFERROR(VLOOKUP($B156,'Base de datos'!$A$3:$K$24,10,FALSE),"")</f>
        <v/>
      </c>
      <c r="K156" s="6"/>
      <c r="L156" s="4"/>
      <c r="M156" s="6" t="str">
        <f>IF(OR(OR(UPPER(IFERROR(VLOOKUP($B156,'Base de datos'!$A$3:$K$24,11,FALSE),""))="NO",ISNUMBER(SEARCH("no sometida",IFERROR(VLOOKUP($B156,'Base de datos'!$A$3:$K$24,10,FALSE),""))),ISNUMBER(SEARCH("no fiscal",IFERROR(VLOOKUP($B156,'Base de datos'!$A$3:$K$24,10,FALSE),"")))),OR(ISNUMBER(SEARCH("Hach",$B156)),ISNUMBER(SEARCH("Ketamina",$B156))),AND(IFERROR(VLOOKUP($B156,'Base de datos'!$A$3:$K$24,9,FALSE),"")&lt;&gt;"",IFERROR(VLOOKUP($B156,'Base de datos'!$A$3:$K$24,9,FALSE),"")&lt;&gt;0)),"",IFERROR($E156*$C156/$I156,""))</f>
        <v/>
      </c>
      <c r="N156" s="6" t="str">
        <f>IF(OR(OR(UPPER(IFERROR(VLOOKUP($B156,'Base de datos'!$A$3:$K$24,11,FALSE),""))="NO",ISNUMBER(SEARCH("no sometida",IFERROR(VLOOKUP($B156,'Base de datos'!$A$3:$K$24,10,FALSE),""))),ISNUMBER(SEARCH("no fiscal",IFERROR(VLOOKUP($B156,'Base de datos'!$A$3:$K$24,10,FALSE),"")))),OR(ISNUMBER(SEARCH("Hach",$B156)),ISNUMBER(SEARCH("Ketamina",$B156))),AND(IFERROR(VLOOKUP($B156,'Base de datos'!$A$3:$K$24,9,FALSE),"")&lt;&gt;"",IFERROR(VLOOKUP($B156,'Base de datos'!$A$3:$K$24,9,FALSE),"")&lt;&gt;0)),"",IFERROR($E156*$C156/IFERROR(VLOOKUP($B156,'Base de datos'!$A$3:$K$24,5,FALSE),0),""))</f>
        <v/>
      </c>
      <c r="O156" s="6" t="str">
        <f>IF(OR(OR(UPPER(IFERROR(VLOOKUP($B156,'Base de datos'!$A$3:$K$24,11,FALSE),""))="NO",ISNUMBER(SEARCH("no sometida",IFERROR(VLOOKUP($B156,'Base de datos'!$A$3:$K$24,10,FALSE),""))),ISNUMBER(SEARCH("no fiscal",IFERROR(VLOOKUP($B156,'Base de datos'!$A$3:$K$24,10,FALSE),"")))),OR(ISNUMBER(SEARCH("Hach",$B156)),ISNUMBER(SEARCH("Ketamina",$B156))),AND(IFERROR(VLOOKUP($B156,'Base de datos'!$A$3:$K$24,9,FALSE),"")&lt;&gt;"",IFERROR(VLOOKUP($B156,'Base de datos'!$A$3:$K$24,9,FALSE),"")&lt;&gt;0)),"",IFERROR((($E156*$C156/IFERROR(VLOOKUP($B156,'Base de datos'!$A$3:$K$24,3,FALSE),0))*1000)/IFERROR(VLOOKUP($B156,'Base de datos'!$A$3:$K$24,2,FALSE),0),""))</f>
        <v/>
      </c>
    </row>
    <row r="157" spans="1:15" x14ac:dyDescent="0.25">
      <c r="A157" s="4"/>
      <c r="B157" s="4"/>
      <c r="C157" s="5" t="str">
        <f>IFERROR(VLOOKUP($B157,'Base de datos'!$A$3:$K$24,3,FALSE),"")</f>
        <v/>
      </c>
      <c r="D157" s="4" t="str">
        <f t="shared" si="4"/>
        <v/>
      </c>
      <c r="E157" s="6"/>
      <c r="F157" s="7" t="str">
        <f>IF($B157="","",IF(OR(UPPER(IFERROR(VLOOKUP($B157,'Base de datos'!$A$3:$K$24,11,FALSE),""))="NO",ISNUMBER(SEARCH("no sometida",IFERROR(VLOOKUP($B157,'Base de datos'!$A$3:$K$24,10,FALSE),""))),ISNUMBER(SEARCH("no fiscal",IFERROR(VLOOKUP($B157,'Base de datos'!$A$3:$K$24,10,FALSE),"")))),"",IF(OR(OR(ISNUMBER(SEARCH("Hach",$B157)),ISNUMBER(SEARCH("Ketamina",$B157))),AND(IFERROR(VLOOKUP($B157,'Base de datos'!$A$3:$K$24,9,FALSE),"")&lt;&gt;"",IFERROR(VLOOKUP($B157,'Base de datos'!$A$3:$K$24,9,FALSE),"")&lt;&gt;0)),"",IFERROR($M157*VLOOKUP($B157,'Base de datos'!$A$3:$K$24,8,FALSE)/1000,""))))</f>
        <v/>
      </c>
      <c r="G157" s="7" t="str">
        <f>IF($B157="","",IF(OR(UPPER(IFERROR(VLOOKUP($B157,'Base de datos'!$A$3:$K$24,11,FALSE),""))="NO",ISNUMBER(SEARCH("no sometida",IFERROR(VLOOKUP($B157,'Base de datos'!$A$3:$K$24,10,FALSE),""))),ISNUMBER(SEARCH("no fiscal",IFERROR(VLOOKUP($B157,'Base de datos'!$A$3:$K$24,10,FALSE),"")))),"",IFERROR(IF(OR(ISNUMBER(SEARCH("Hach",$B157)),ISNUMBER(SEARCH("Ketamina",$B157))),IF(VLOOKUP($B157,'Base de datos'!$A$3:$K$24,6,FALSE)="","",$E157*VLOOKUP($B157,'Base de datos'!$A$3:$K$24,6,FALSE)),IF(AND(IFERROR(VLOOKUP($B157,'Base de datos'!$A$3:$K$24,9,FALSE),"")&lt;&gt;"",IFERROR(VLOOKUP($B157,'Base de datos'!$A$3:$K$24,9,FALSE),"")&lt;&gt;0),"",IF(VLOOKUP($B157,'Base de datos'!$A$3:$K$24,6,FALSE)="","",$N157*VLOOKUP($B157,'Base de datos'!$A$3:$K$24,6,FALSE)))),"")))</f>
        <v/>
      </c>
      <c r="H157" s="7" t="str">
        <f>IF($B157="","",IF(OR(UPPER(IFERROR(VLOOKUP($B157,'Base de datos'!$A$3:$K$24,11,FALSE),""))="NO",ISNUMBER(SEARCH("no sometida",IFERROR(VLOOKUP($B157,'Base de datos'!$A$3:$K$24,10,FALSE),""))),ISNUMBER(SEARCH("no fiscal",IFERROR(VLOOKUP($B157,'Base de datos'!$A$3:$K$24,10,FALSE),"")))),"",IF(OR(ISNUMBER(SEARCH("Hach",$B157)),ISNUMBER(SEARCH("Ketamina",$B157))),"",IF(AND(IFERROR(VLOOKUP($B157,'Base de datos'!$A$3:$K$24,9,FALSE),"")&lt;&gt;"",IFERROR(VLOOKUP($B157,'Base de datos'!$A$3:$K$24,9,FALSE),"")&lt;&gt;0),$E157*IFERROR(VLOOKUP($B157,'Base de datos'!$A$3:$K$24,9,FALSE),""),IFERROR($O157*VLOOKUP($B157,'Base de datos'!$A$3:$K$24,4,FALSE),"")))))</f>
        <v/>
      </c>
      <c r="I157" s="5" t="str">
        <f>IFERROR(VLOOKUP($B157,'Base de datos'!$A$3:$K$24,7,FALSE),"")</f>
        <v/>
      </c>
      <c r="J157" s="13" t="str">
        <f>IFERROR(VLOOKUP($B157,'Base de datos'!$A$3:$K$24,10,FALSE),"")</f>
        <v/>
      </c>
      <c r="K157" s="6"/>
      <c r="L157" s="4"/>
      <c r="M157" s="6" t="str">
        <f>IF(OR(OR(UPPER(IFERROR(VLOOKUP($B157,'Base de datos'!$A$3:$K$24,11,FALSE),""))="NO",ISNUMBER(SEARCH("no sometida",IFERROR(VLOOKUP($B157,'Base de datos'!$A$3:$K$24,10,FALSE),""))),ISNUMBER(SEARCH("no fiscal",IFERROR(VLOOKUP($B157,'Base de datos'!$A$3:$K$24,10,FALSE),"")))),OR(ISNUMBER(SEARCH("Hach",$B157)),ISNUMBER(SEARCH("Ketamina",$B157))),AND(IFERROR(VLOOKUP($B157,'Base de datos'!$A$3:$K$24,9,FALSE),"")&lt;&gt;"",IFERROR(VLOOKUP($B157,'Base de datos'!$A$3:$K$24,9,FALSE),"")&lt;&gt;0)),"",IFERROR($E157*$C157/$I157,""))</f>
        <v/>
      </c>
      <c r="N157" s="6" t="str">
        <f>IF(OR(OR(UPPER(IFERROR(VLOOKUP($B157,'Base de datos'!$A$3:$K$24,11,FALSE),""))="NO",ISNUMBER(SEARCH("no sometida",IFERROR(VLOOKUP($B157,'Base de datos'!$A$3:$K$24,10,FALSE),""))),ISNUMBER(SEARCH("no fiscal",IFERROR(VLOOKUP($B157,'Base de datos'!$A$3:$K$24,10,FALSE),"")))),OR(ISNUMBER(SEARCH("Hach",$B157)),ISNUMBER(SEARCH("Ketamina",$B157))),AND(IFERROR(VLOOKUP($B157,'Base de datos'!$A$3:$K$24,9,FALSE),"")&lt;&gt;"",IFERROR(VLOOKUP($B157,'Base de datos'!$A$3:$K$24,9,FALSE),"")&lt;&gt;0)),"",IFERROR($E157*$C157/IFERROR(VLOOKUP($B157,'Base de datos'!$A$3:$K$24,5,FALSE),0),""))</f>
        <v/>
      </c>
      <c r="O157" s="6" t="str">
        <f>IF(OR(OR(UPPER(IFERROR(VLOOKUP($B157,'Base de datos'!$A$3:$K$24,11,FALSE),""))="NO",ISNUMBER(SEARCH("no sometida",IFERROR(VLOOKUP($B157,'Base de datos'!$A$3:$K$24,10,FALSE),""))),ISNUMBER(SEARCH("no fiscal",IFERROR(VLOOKUP($B157,'Base de datos'!$A$3:$K$24,10,FALSE),"")))),OR(ISNUMBER(SEARCH("Hach",$B157)),ISNUMBER(SEARCH("Ketamina",$B157))),AND(IFERROR(VLOOKUP($B157,'Base de datos'!$A$3:$K$24,9,FALSE),"")&lt;&gt;"",IFERROR(VLOOKUP($B157,'Base de datos'!$A$3:$K$24,9,FALSE),"")&lt;&gt;0)),"",IFERROR((($E157*$C157/IFERROR(VLOOKUP($B157,'Base de datos'!$A$3:$K$24,3,FALSE),0))*1000)/IFERROR(VLOOKUP($B157,'Base de datos'!$A$3:$K$24,2,FALSE),0),""))</f>
        <v/>
      </c>
    </row>
    <row r="158" spans="1:15" x14ac:dyDescent="0.25">
      <c r="A158" s="4"/>
      <c r="B158" s="4"/>
      <c r="C158" s="5" t="str">
        <f>IFERROR(VLOOKUP($B158,'Base de datos'!$A$3:$K$24,3,FALSE),"")</f>
        <v/>
      </c>
      <c r="D158" s="4" t="str">
        <f t="shared" si="4"/>
        <v/>
      </c>
      <c r="E158" s="6"/>
      <c r="F158" s="7" t="str">
        <f>IF($B158="","",IF(OR(UPPER(IFERROR(VLOOKUP($B158,'Base de datos'!$A$3:$K$24,11,FALSE),""))="NO",ISNUMBER(SEARCH("no sometida",IFERROR(VLOOKUP($B158,'Base de datos'!$A$3:$K$24,10,FALSE),""))),ISNUMBER(SEARCH("no fiscal",IFERROR(VLOOKUP($B158,'Base de datos'!$A$3:$K$24,10,FALSE),"")))),"",IF(OR(OR(ISNUMBER(SEARCH("Hach",$B158)),ISNUMBER(SEARCH("Ketamina",$B158))),AND(IFERROR(VLOOKUP($B158,'Base de datos'!$A$3:$K$24,9,FALSE),"")&lt;&gt;"",IFERROR(VLOOKUP($B158,'Base de datos'!$A$3:$K$24,9,FALSE),"")&lt;&gt;0)),"",IFERROR($M158*VLOOKUP($B158,'Base de datos'!$A$3:$K$24,8,FALSE)/1000,""))))</f>
        <v/>
      </c>
      <c r="G158" s="7" t="str">
        <f>IF($B158="","",IF(OR(UPPER(IFERROR(VLOOKUP($B158,'Base de datos'!$A$3:$K$24,11,FALSE),""))="NO",ISNUMBER(SEARCH("no sometida",IFERROR(VLOOKUP($B158,'Base de datos'!$A$3:$K$24,10,FALSE),""))),ISNUMBER(SEARCH("no fiscal",IFERROR(VLOOKUP($B158,'Base de datos'!$A$3:$K$24,10,FALSE),"")))),"",IFERROR(IF(OR(ISNUMBER(SEARCH("Hach",$B158)),ISNUMBER(SEARCH("Ketamina",$B158))),IF(VLOOKUP($B158,'Base de datos'!$A$3:$K$24,6,FALSE)="","",$E158*VLOOKUP($B158,'Base de datos'!$A$3:$K$24,6,FALSE)),IF(AND(IFERROR(VLOOKUP($B158,'Base de datos'!$A$3:$K$24,9,FALSE),"")&lt;&gt;"",IFERROR(VLOOKUP($B158,'Base de datos'!$A$3:$K$24,9,FALSE),"")&lt;&gt;0),"",IF(VLOOKUP($B158,'Base de datos'!$A$3:$K$24,6,FALSE)="","",$N158*VLOOKUP($B158,'Base de datos'!$A$3:$K$24,6,FALSE)))),"")))</f>
        <v/>
      </c>
      <c r="H158" s="7" t="str">
        <f>IF($B158="","",IF(OR(UPPER(IFERROR(VLOOKUP($B158,'Base de datos'!$A$3:$K$24,11,FALSE),""))="NO",ISNUMBER(SEARCH("no sometida",IFERROR(VLOOKUP($B158,'Base de datos'!$A$3:$K$24,10,FALSE),""))),ISNUMBER(SEARCH("no fiscal",IFERROR(VLOOKUP($B158,'Base de datos'!$A$3:$K$24,10,FALSE),"")))),"",IF(OR(ISNUMBER(SEARCH("Hach",$B158)),ISNUMBER(SEARCH("Ketamina",$B158))),"",IF(AND(IFERROR(VLOOKUP($B158,'Base de datos'!$A$3:$K$24,9,FALSE),"")&lt;&gt;"",IFERROR(VLOOKUP($B158,'Base de datos'!$A$3:$K$24,9,FALSE),"")&lt;&gt;0),$E158*IFERROR(VLOOKUP($B158,'Base de datos'!$A$3:$K$24,9,FALSE),""),IFERROR($O158*VLOOKUP($B158,'Base de datos'!$A$3:$K$24,4,FALSE),"")))))</f>
        <v/>
      </c>
      <c r="I158" s="5" t="str">
        <f>IFERROR(VLOOKUP($B158,'Base de datos'!$A$3:$K$24,7,FALSE),"")</f>
        <v/>
      </c>
      <c r="J158" s="13" t="str">
        <f>IFERROR(VLOOKUP($B158,'Base de datos'!$A$3:$K$24,10,FALSE),"")</f>
        <v/>
      </c>
      <c r="K158" s="6"/>
      <c r="L158" s="4"/>
      <c r="M158" s="6" t="str">
        <f>IF(OR(OR(UPPER(IFERROR(VLOOKUP($B158,'Base de datos'!$A$3:$K$24,11,FALSE),""))="NO",ISNUMBER(SEARCH("no sometida",IFERROR(VLOOKUP($B158,'Base de datos'!$A$3:$K$24,10,FALSE),""))),ISNUMBER(SEARCH("no fiscal",IFERROR(VLOOKUP($B158,'Base de datos'!$A$3:$K$24,10,FALSE),"")))),OR(ISNUMBER(SEARCH("Hach",$B158)),ISNUMBER(SEARCH("Ketamina",$B158))),AND(IFERROR(VLOOKUP($B158,'Base de datos'!$A$3:$K$24,9,FALSE),"")&lt;&gt;"",IFERROR(VLOOKUP($B158,'Base de datos'!$A$3:$K$24,9,FALSE),"")&lt;&gt;0)),"",IFERROR($E158*$C158/$I158,""))</f>
        <v/>
      </c>
      <c r="N158" s="6" t="str">
        <f>IF(OR(OR(UPPER(IFERROR(VLOOKUP($B158,'Base de datos'!$A$3:$K$24,11,FALSE),""))="NO",ISNUMBER(SEARCH("no sometida",IFERROR(VLOOKUP($B158,'Base de datos'!$A$3:$K$24,10,FALSE),""))),ISNUMBER(SEARCH("no fiscal",IFERROR(VLOOKUP($B158,'Base de datos'!$A$3:$K$24,10,FALSE),"")))),OR(ISNUMBER(SEARCH("Hach",$B158)),ISNUMBER(SEARCH("Ketamina",$B158))),AND(IFERROR(VLOOKUP($B158,'Base de datos'!$A$3:$K$24,9,FALSE),"")&lt;&gt;"",IFERROR(VLOOKUP($B158,'Base de datos'!$A$3:$K$24,9,FALSE),"")&lt;&gt;0)),"",IFERROR($E158*$C158/IFERROR(VLOOKUP($B158,'Base de datos'!$A$3:$K$24,5,FALSE),0),""))</f>
        <v/>
      </c>
      <c r="O158" s="6" t="str">
        <f>IF(OR(OR(UPPER(IFERROR(VLOOKUP($B158,'Base de datos'!$A$3:$K$24,11,FALSE),""))="NO",ISNUMBER(SEARCH("no sometida",IFERROR(VLOOKUP($B158,'Base de datos'!$A$3:$K$24,10,FALSE),""))),ISNUMBER(SEARCH("no fiscal",IFERROR(VLOOKUP($B158,'Base de datos'!$A$3:$K$24,10,FALSE),"")))),OR(ISNUMBER(SEARCH("Hach",$B158)),ISNUMBER(SEARCH("Ketamina",$B158))),AND(IFERROR(VLOOKUP($B158,'Base de datos'!$A$3:$K$24,9,FALSE),"")&lt;&gt;"",IFERROR(VLOOKUP($B158,'Base de datos'!$A$3:$K$24,9,FALSE),"")&lt;&gt;0)),"",IFERROR((($E158*$C158/IFERROR(VLOOKUP($B158,'Base de datos'!$A$3:$K$24,3,FALSE),0))*1000)/IFERROR(VLOOKUP($B158,'Base de datos'!$A$3:$K$24,2,FALSE),0),""))</f>
        <v/>
      </c>
    </row>
    <row r="159" spans="1:15" x14ac:dyDescent="0.25">
      <c r="A159" s="4"/>
      <c r="B159" s="4"/>
      <c r="C159" s="5" t="str">
        <f>IFERROR(VLOOKUP($B159,'Base de datos'!$A$3:$K$24,3,FALSE),"")</f>
        <v/>
      </c>
      <c r="D159" s="4" t="str">
        <f t="shared" si="4"/>
        <v/>
      </c>
      <c r="E159" s="6"/>
      <c r="F159" s="7" t="str">
        <f>IF($B159="","",IF(OR(UPPER(IFERROR(VLOOKUP($B159,'Base de datos'!$A$3:$K$24,11,FALSE),""))="NO",ISNUMBER(SEARCH("no sometida",IFERROR(VLOOKUP($B159,'Base de datos'!$A$3:$K$24,10,FALSE),""))),ISNUMBER(SEARCH("no fiscal",IFERROR(VLOOKUP($B159,'Base de datos'!$A$3:$K$24,10,FALSE),"")))),"",IF(OR(OR(ISNUMBER(SEARCH("Hach",$B159)),ISNUMBER(SEARCH("Ketamina",$B159))),AND(IFERROR(VLOOKUP($B159,'Base de datos'!$A$3:$K$24,9,FALSE),"")&lt;&gt;"",IFERROR(VLOOKUP($B159,'Base de datos'!$A$3:$K$24,9,FALSE),"")&lt;&gt;0)),"",IFERROR($M159*VLOOKUP($B159,'Base de datos'!$A$3:$K$24,8,FALSE)/1000,""))))</f>
        <v/>
      </c>
      <c r="G159" s="7" t="str">
        <f>IF($B159="","",IF(OR(UPPER(IFERROR(VLOOKUP($B159,'Base de datos'!$A$3:$K$24,11,FALSE),""))="NO",ISNUMBER(SEARCH("no sometida",IFERROR(VLOOKUP($B159,'Base de datos'!$A$3:$K$24,10,FALSE),""))),ISNUMBER(SEARCH("no fiscal",IFERROR(VLOOKUP($B159,'Base de datos'!$A$3:$K$24,10,FALSE),"")))),"",IFERROR(IF(OR(ISNUMBER(SEARCH("Hach",$B159)),ISNUMBER(SEARCH("Ketamina",$B159))),IF(VLOOKUP($B159,'Base de datos'!$A$3:$K$24,6,FALSE)="","",$E159*VLOOKUP($B159,'Base de datos'!$A$3:$K$24,6,FALSE)),IF(AND(IFERROR(VLOOKUP($B159,'Base de datos'!$A$3:$K$24,9,FALSE),"")&lt;&gt;"",IFERROR(VLOOKUP($B159,'Base de datos'!$A$3:$K$24,9,FALSE),"")&lt;&gt;0),"",IF(VLOOKUP($B159,'Base de datos'!$A$3:$K$24,6,FALSE)="","",$N159*VLOOKUP($B159,'Base de datos'!$A$3:$K$24,6,FALSE)))),"")))</f>
        <v/>
      </c>
      <c r="H159" s="7" t="str">
        <f>IF($B159="","",IF(OR(UPPER(IFERROR(VLOOKUP($B159,'Base de datos'!$A$3:$K$24,11,FALSE),""))="NO",ISNUMBER(SEARCH("no sometida",IFERROR(VLOOKUP($B159,'Base de datos'!$A$3:$K$24,10,FALSE),""))),ISNUMBER(SEARCH("no fiscal",IFERROR(VLOOKUP($B159,'Base de datos'!$A$3:$K$24,10,FALSE),"")))),"",IF(OR(ISNUMBER(SEARCH("Hach",$B159)),ISNUMBER(SEARCH("Ketamina",$B159))),"",IF(AND(IFERROR(VLOOKUP($B159,'Base de datos'!$A$3:$K$24,9,FALSE),"")&lt;&gt;"",IFERROR(VLOOKUP($B159,'Base de datos'!$A$3:$K$24,9,FALSE),"")&lt;&gt;0),$E159*IFERROR(VLOOKUP($B159,'Base de datos'!$A$3:$K$24,9,FALSE),""),IFERROR($O159*VLOOKUP($B159,'Base de datos'!$A$3:$K$24,4,FALSE),"")))))</f>
        <v/>
      </c>
      <c r="I159" s="5" t="str">
        <f>IFERROR(VLOOKUP($B159,'Base de datos'!$A$3:$K$24,7,FALSE),"")</f>
        <v/>
      </c>
      <c r="J159" s="13" t="str">
        <f>IFERROR(VLOOKUP($B159,'Base de datos'!$A$3:$K$24,10,FALSE),"")</f>
        <v/>
      </c>
      <c r="K159" s="6"/>
      <c r="L159" s="4"/>
      <c r="M159" s="6" t="str">
        <f>IF(OR(OR(UPPER(IFERROR(VLOOKUP($B159,'Base de datos'!$A$3:$K$24,11,FALSE),""))="NO",ISNUMBER(SEARCH("no sometida",IFERROR(VLOOKUP($B159,'Base de datos'!$A$3:$K$24,10,FALSE),""))),ISNUMBER(SEARCH("no fiscal",IFERROR(VLOOKUP($B159,'Base de datos'!$A$3:$K$24,10,FALSE),"")))),OR(ISNUMBER(SEARCH("Hach",$B159)),ISNUMBER(SEARCH("Ketamina",$B159))),AND(IFERROR(VLOOKUP($B159,'Base de datos'!$A$3:$K$24,9,FALSE),"")&lt;&gt;"",IFERROR(VLOOKUP($B159,'Base de datos'!$A$3:$K$24,9,FALSE),"")&lt;&gt;0)),"",IFERROR($E159*$C159/$I159,""))</f>
        <v/>
      </c>
      <c r="N159" s="6" t="str">
        <f>IF(OR(OR(UPPER(IFERROR(VLOOKUP($B159,'Base de datos'!$A$3:$K$24,11,FALSE),""))="NO",ISNUMBER(SEARCH("no sometida",IFERROR(VLOOKUP($B159,'Base de datos'!$A$3:$K$24,10,FALSE),""))),ISNUMBER(SEARCH("no fiscal",IFERROR(VLOOKUP($B159,'Base de datos'!$A$3:$K$24,10,FALSE),"")))),OR(ISNUMBER(SEARCH("Hach",$B159)),ISNUMBER(SEARCH("Ketamina",$B159))),AND(IFERROR(VLOOKUP($B159,'Base de datos'!$A$3:$K$24,9,FALSE),"")&lt;&gt;"",IFERROR(VLOOKUP($B159,'Base de datos'!$A$3:$K$24,9,FALSE),"")&lt;&gt;0)),"",IFERROR($E159*$C159/IFERROR(VLOOKUP($B159,'Base de datos'!$A$3:$K$24,5,FALSE),0),""))</f>
        <v/>
      </c>
      <c r="O159" s="6" t="str">
        <f>IF(OR(OR(UPPER(IFERROR(VLOOKUP($B159,'Base de datos'!$A$3:$K$24,11,FALSE),""))="NO",ISNUMBER(SEARCH("no sometida",IFERROR(VLOOKUP($B159,'Base de datos'!$A$3:$K$24,10,FALSE),""))),ISNUMBER(SEARCH("no fiscal",IFERROR(VLOOKUP($B159,'Base de datos'!$A$3:$K$24,10,FALSE),"")))),OR(ISNUMBER(SEARCH("Hach",$B159)),ISNUMBER(SEARCH("Ketamina",$B159))),AND(IFERROR(VLOOKUP($B159,'Base de datos'!$A$3:$K$24,9,FALSE),"")&lt;&gt;"",IFERROR(VLOOKUP($B159,'Base de datos'!$A$3:$K$24,9,FALSE),"")&lt;&gt;0)),"",IFERROR((($E159*$C159/IFERROR(VLOOKUP($B159,'Base de datos'!$A$3:$K$24,3,FALSE),0))*1000)/IFERROR(VLOOKUP($B159,'Base de datos'!$A$3:$K$24,2,FALSE),0),""))</f>
        <v/>
      </c>
    </row>
    <row r="160" spans="1:15" x14ac:dyDescent="0.25">
      <c r="A160" s="4"/>
      <c r="B160" s="4"/>
      <c r="C160" s="5" t="str">
        <f>IFERROR(VLOOKUP($B160,'Base de datos'!$A$3:$K$24,3,FALSE),"")</f>
        <v/>
      </c>
      <c r="D160" s="4" t="str">
        <f t="shared" si="4"/>
        <v/>
      </c>
      <c r="E160" s="6"/>
      <c r="F160" s="7" t="str">
        <f>IF($B160="","",IF(OR(UPPER(IFERROR(VLOOKUP($B160,'Base de datos'!$A$3:$K$24,11,FALSE),""))="NO",ISNUMBER(SEARCH("no sometida",IFERROR(VLOOKUP($B160,'Base de datos'!$A$3:$K$24,10,FALSE),""))),ISNUMBER(SEARCH("no fiscal",IFERROR(VLOOKUP($B160,'Base de datos'!$A$3:$K$24,10,FALSE),"")))),"",IF(OR(OR(ISNUMBER(SEARCH("Hach",$B160)),ISNUMBER(SEARCH("Ketamina",$B160))),AND(IFERROR(VLOOKUP($B160,'Base de datos'!$A$3:$K$24,9,FALSE),"")&lt;&gt;"",IFERROR(VLOOKUP($B160,'Base de datos'!$A$3:$K$24,9,FALSE),"")&lt;&gt;0)),"",IFERROR($M160*VLOOKUP($B160,'Base de datos'!$A$3:$K$24,8,FALSE)/1000,""))))</f>
        <v/>
      </c>
      <c r="G160" s="7" t="str">
        <f>IF($B160="","",IF(OR(UPPER(IFERROR(VLOOKUP($B160,'Base de datos'!$A$3:$K$24,11,FALSE),""))="NO",ISNUMBER(SEARCH("no sometida",IFERROR(VLOOKUP($B160,'Base de datos'!$A$3:$K$24,10,FALSE),""))),ISNUMBER(SEARCH("no fiscal",IFERROR(VLOOKUP($B160,'Base de datos'!$A$3:$K$24,10,FALSE),"")))),"",IFERROR(IF(OR(ISNUMBER(SEARCH("Hach",$B160)),ISNUMBER(SEARCH("Ketamina",$B160))),IF(VLOOKUP($B160,'Base de datos'!$A$3:$K$24,6,FALSE)="","",$E160*VLOOKUP($B160,'Base de datos'!$A$3:$K$24,6,FALSE)),IF(AND(IFERROR(VLOOKUP($B160,'Base de datos'!$A$3:$K$24,9,FALSE),"")&lt;&gt;"",IFERROR(VLOOKUP($B160,'Base de datos'!$A$3:$K$24,9,FALSE),"")&lt;&gt;0),"",IF(VLOOKUP($B160,'Base de datos'!$A$3:$K$24,6,FALSE)="","",$N160*VLOOKUP($B160,'Base de datos'!$A$3:$K$24,6,FALSE)))),"")))</f>
        <v/>
      </c>
      <c r="H160" s="7" t="str">
        <f>IF($B160="","",IF(OR(UPPER(IFERROR(VLOOKUP($B160,'Base de datos'!$A$3:$K$24,11,FALSE),""))="NO",ISNUMBER(SEARCH("no sometida",IFERROR(VLOOKUP($B160,'Base de datos'!$A$3:$K$24,10,FALSE),""))),ISNUMBER(SEARCH("no fiscal",IFERROR(VLOOKUP($B160,'Base de datos'!$A$3:$K$24,10,FALSE),"")))),"",IF(OR(ISNUMBER(SEARCH("Hach",$B160)),ISNUMBER(SEARCH("Ketamina",$B160))),"",IF(AND(IFERROR(VLOOKUP($B160,'Base de datos'!$A$3:$K$24,9,FALSE),"")&lt;&gt;"",IFERROR(VLOOKUP($B160,'Base de datos'!$A$3:$K$24,9,FALSE),"")&lt;&gt;0),$E160*IFERROR(VLOOKUP($B160,'Base de datos'!$A$3:$K$24,9,FALSE),""),IFERROR($O160*VLOOKUP($B160,'Base de datos'!$A$3:$K$24,4,FALSE),"")))))</f>
        <v/>
      </c>
      <c r="I160" s="5" t="str">
        <f>IFERROR(VLOOKUP($B160,'Base de datos'!$A$3:$K$24,7,FALSE),"")</f>
        <v/>
      </c>
      <c r="J160" s="13" t="str">
        <f>IFERROR(VLOOKUP($B160,'Base de datos'!$A$3:$K$24,10,FALSE),"")</f>
        <v/>
      </c>
      <c r="K160" s="6"/>
      <c r="L160" s="4"/>
      <c r="M160" s="6" t="str">
        <f>IF(OR(OR(UPPER(IFERROR(VLOOKUP($B160,'Base de datos'!$A$3:$K$24,11,FALSE),""))="NO",ISNUMBER(SEARCH("no sometida",IFERROR(VLOOKUP($B160,'Base de datos'!$A$3:$K$24,10,FALSE),""))),ISNUMBER(SEARCH("no fiscal",IFERROR(VLOOKUP($B160,'Base de datos'!$A$3:$K$24,10,FALSE),"")))),OR(ISNUMBER(SEARCH("Hach",$B160)),ISNUMBER(SEARCH("Ketamina",$B160))),AND(IFERROR(VLOOKUP($B160,'Base de datos'!$A$3:$K$24,9,FALSE),"")&lt;&gt;"",IFERROR(VLOOKUP($B160,'Base de datos'!$A$3:$K$24,9,FALSE),"")&lt;&gt;0)),"",IFERROR($E160*$C160/$I160,""))</f>
        <v/>
      </c>
      <c r="N160" s="6" t="str">
        <f>IF(OR(OR(UPPER(IFERROR(VLOOKUP($B160,'Base de datos'!$A$3:$K$24,11,FALSE),""))="NO",ISNUMBER(SEARCH("no sometida",IFERROR(VLOOKUP($B160,'Base de datos'!$A$3:$K$24,10,FALSE),""))),ISNUMBER(SEARCH("no fiscal",IFERROR(VLOOKUP($B160,'Base de datos'!$A$3:$K$24,10,FALSE),"")))),OR(ISNUMBER(SEARCH("Hach",$B160)),ISNUMBER(SEARCH("Ketamina",$B160))),AND(IFERROR(VLOOKUP($B160,'Base de datos'!$A$3:$K$24,9,FALSE),"")&lt;&gt;"",IFERROR(VLOOKUP($B160,'Base de datos'!$A$3:$K$24,9,FALSE),"")&lt;&gt;0)),"",IFERROR($E160*$C160/IFERROR(VLOOKUP($B160,'Base de datos'!$A$3:$K$24,5,FALSE),0),""))</f>
        <v/>
      </c>
      <c r="O160" s="6" t="str">
        <f>IF(OR(OR(UPPER(IFERROR(VLOOKUP($B160,'Base de datos'!$A$3:$K$24,11,FALSE),""))="NO",ISNUMBER(SEARCH("no sometida",IFERROR(VLOOKUP($B160,'Base de datos'!$A$3:$K$24,10,FALSE),""))),ISNUMBER(SEARCH("no fiscal",IFERROR(VLOOKUP($B160,'Base de datos'!$A$3:$K$24,10,FALSE),"")))),OR(ISNUMBER(SEARCH("Hach",$B160)),ISNUMBER(SEARCH("Ketamina",$B160))),AND(IFERROR(VLOOKUP($B160,'Base de datos'!$A$3:$K$24,9,FALSE),"")&lt;&gt;"",IFERROR(VLOOKUP($B160,'Base de datos'!$A$3:$K$24,9,FALSE),"")&lt;&gt;0)),"",IFERROR((($E160*$C160/IFERROR(VLOOKUP($B160,'Base de datos'!$A$3:$K$24,3,FALSE),0))*1000)/IFERROR(VLOOKUP($B160,'Base de datos'!$A$3:$K$24,2,FALSE),0),""))</f>
        <v/>
      </c>
    </row>
    <row r="161" spans="1:15" x14ac:dyDescent="0.25">
      <c r="A161" s="4"/>
      <c r="B161" s="4"/>
      <c r="C161" s="5" t="str">
        <f>IFERROR(VLOOKUP($B161,'Base de datos'!$A$3:$K$24,3,FALSE),"")</f>
        <v/>
      </c>
      <c r="D161" s="4" t="str">
        <f t="shared" si="4"/>
        <v/>
      </c>
      <c r="E161" s="6"/>
      <c r="F161" s="7" t="str">
        <f>IF($B161="","",IF(OR(UPPER(IFERROR(VLOOKUP($B161,'Base de datos'!$A$3:$K$24,11,FALSE),""))="NO",ISNUMBER(SEARCH("no sometida",IFERROR(VLOOKUP($B161,'Base de datos'!$A$3:$K$24,10,FALSE),""))),ISNUMBER(SEARCH("no fiscal",IFERROR(VLOOKUP($B161,'Base de datos'!$A$3:$K$24,10,FALSE),"")))),"",IF(OR(OR(ISNUMBER(SEARCH("Hach",$B161)),ISNUMBER(SEARCH("Ketamina",$B161))),AND(IFERROR(VLOOKUP($B161,'Base de datos'!$A$3:$K$24,9,FALSE),"")&lt;&gt;"",IFERROR(VLOOKUP($B161,'Base de datos'!$A$3:$K$24,9,FALSE),"")&lt;&gt;0)),"",IFERROR($M161*VLOOKUP($B161,'Base de datos'!$A$3:$K$24,8,FALSE)/1000,""))))</f>
        <v/>
      </c>
      <c r="G161" s="7" t="str">
        <f>IF($B161="","",IF(OR(UPPER(IFERROR(VLOOKUP($B161,'Base de datos'!$A$3:$K$24,11,FALSE),""))="NO",ISNUMBER(SEARCH("no sometida",IFERROR(VLOOKUP($B161,'Base de datos'!$A$3:$K$24,10,FALSE),""))),ISNUMBER(SEARCH("no fiscal",IFERROR(VLOOKUP($B161,'Base de datos'!$A$3:$K$24,10,FALSE),"")))),"",IFERROR(IF(OR(ISNUMBER(SEARCH("Hach",$B161)),ISNUMBER(SEARCH("Ketamina",$B161))),IF(VLOOKUP($B161,'Base de datos'!$A$3:$K$24,6,FALSE)="","",$E161*VLOOKUP($B161,'Base de datos'!$A$3:$K$24,6,FALSE)),IF(AND(IFERROR(VLOOKUP($B161,'Base de datos'!$A$3:$K$24,9,FALSE),"")&lt;&gt;"",IFERROR(VLOOKUP($B161,'Base de datos'!$A$3:$K$24,9,FALSE),"")&lt;&gt;0),"",IF(VLOOKUP($B161,'Base de datos'!$A$3:$K$24,6,FALSE)="","",$N161*VLOOKUP($B161,'Base de datos'!$A$3:$K$24,6,FALSE)))),"")))</f>
        <v/>
      </c>
      <c r="H161" s="7" t="str">
        <f>IF($B161="","",IF(OR(UPPER(IFERROR(VLOOKUP($B161,'Base de datos'!$A$3:$K$24,11,FALSE),""))="NO",ISNUMBER(SEARCH("no sometida",IFERROR(VLOOKUP($B161,'Base de datos'!$A$3:$K$24,10,FALSE),""))),ISNUMBER(SEARCH("no fiscal",IFERROR(VLOOKUP($B161,'Base de datos'!$A$3:$K$24,10,FALSE),"")))),"",IF(OR(ISNUMBER(SEARCH("Hach",$B161)),ISNUMBER(SEARCH("Ketamina",$B161))),"",IF(AND(IFERROR(VLOOKUP($B161,'Base de datos'!$A$3:$K$24,9,FALSE),"")&lt;&gt;"",IFERROR(VLOOKUP($B161,'Base de datos'!$A$3:$K$24,9,FALSE),"")&lt;&gt;0),$E161*IFERROR(VLOOKUP($B161,'Base de datos'!$A$3:$K$24,9,FALSE),""),IFERROR($O161*VLOOKUP($B161,'Base de datos'!$A$3:$K$24,4,FALSE),"")))))</f>
        <v/>
      </c>
      <c r="I161" s="5" t="str">
        <f>IFERROR(VLOOKUP($B161,'Base de datos'!$A$3:$K$24,7,FALSE),"")</f>
        <v/>
      </c>
      <c r="J161" s="13" t="str">
        <f>IFERROR(VLOOKUP($B161,'Base de datos'!$A$3:$K$24,10,FALSE),"")</f>
        <v/>
      </c>
      <c r="K161" s="6"/>
      <c r="L161" s="4"/>
      <c r="M161" s="6" t="str">
        <f>IF(OR(OR(UPPER(IFERROR(VLOOKUP($B161,'Base de datos'!$A$3:$K$24,11,FALSE),""))="NO",ISNUMBER(SEARCH("no sometida",IFERROR(VLOOKUP($B161,'Base de datos'!$A$3:$K$24,10,FALSE),""))),ISNUMBER(SEARCH("no fiscal",IFERROR(VLOOKUP($B161,'Base de datos'!$A$3:$K$24,10,FALSE),"")))),OR(ISNUMBER(SEARCH("Hach",$B161)),ISNUMBER(SEARCH("Ketamina",$B161))),AND(IFERROR(VLOOKUP($B161,'Base de datos'!$A$3:$K$24,9,FALSE),"")&lt;&gt;"",IFERROR(VLOOKUP($B161,'Base de datos'!$A$3:$K$24,9,FALSE),"")&lt;&gt;0)),"",IFERROR($E161*$C161/$I161,""))</f>
        <v/>
      </c>
      <c r="N161" s="6" t="str">
        <f>IF(OR(OR(UPPER(IFERROR(VLOOKUP($B161,'Base de datos'!$A$3:$K$24,11,FALSE),""))="NO",ISNUMBER(SEARCH("no sometida",IFERROR(VLOOKUP($B161,'Base de datos'!$A$3:$K$24,10,FALSE),""))),ISNUMBER(SEARCH("no fiscal",IFERROR(VLOOKUP($B161,'Base de datos'!$A$3:$K$24,10,FALSE),"")))),OR(ISNUMBER(SEARCH("Hach",$B161)),ISNUMBER(SEARCH("Ketamina",$B161))),AND(IFERROR(VLOOKUP($B161,'Base de datos'!$A$3:$K$24,9,FALSE),"")&lt;&gt;"",IFERROR(VLOOKUP($B161,'Base de datos'!$A$3:$K$24,9,FALSE),"")&lt;&gt;0)),"",IFERROR($E161*$C161/IFERROR(VLOOKUP($B161,'Base de datos'!$A$3:$K$24,5,FALSE),0),""))</f>
        <v/>
      </c>
      <c r="O161" s="6" t="str">
        <f>IF(OR(OR(UPPER(IFERROR(VLOOKUP($B161,'Base de datos'!$A$3:$K$24,11,FALSE),""))="NO",ISNUMBER(SEARCH("no sometida",IFERROR(VLOOKUP($B161,'Base de datos'!$A$3:$K$24,10,FALSE),""))),ISNUMBER(SEARCH("no fiscal",IFERROR(VLOOKUP($B161,'Base de datos'!$A$3:$K$24,10,FALSE),"")))),OR(ISNUMBER(SEARCH("Hach",$B161)),ISNUMBER(SEARCH("Ketamina",$B161))),AND(IFERROR(VLOOKUP($B161,'Base de datos'!$A$3:$K$24,9,FALSE),"")&lt;&gt;"",IFERROR(VLOOKUP($B161,'Base de datos'!$A$3:$K$24,9,FALSE),"")&lt;&gt;0)),"",IFERROR((($E161*$C161/IFERROR(VLOOKUP($B161,'Base de datos'!$A$3:$K$24,3,FALSE),0))*1000)/IFERROR(VLOOKUP($B161,'Base de datos'!$A$3:$K$24,2,FALSE),0),""))</f>
        <v/>
      </c>
    </row>
    <row r="162" spans="1:15" x14ac:dyDescent="0.25">
      <c r="A162" s="4"/>
      <c r="B162" s="4"/>
      <c r="C162" s="5" t="str">
        <f>IFERROR(VLOOKUP($B162,'Base de datos'!$A$3:$K$24,3,FALSE),"")</f>
        <v/>
      </c>
      <c r="D162" s="4" t="str">
        <f t="shared" si="4"/>
        <v/>
      </c>
      <c r="E162" s="6"/>
      <c r="F162" s="7" t="str">
        <f>IF($B162="","",IF(OR(UPPER(IFERROR(VLOOKUP($B162,'Base de datos'!$A$3:$K$24,11,FALSE),""))="NO",ISNUMBER(SEARCH("no sometida",IFERROR(VLOOKUP($B162,'Base de datos'!$A$3:$K$24,10,FALSE),""))),ISNUMBER(SEARCH("no fiscal",IFERROR(VLOOKUP($B162,'Base de datos'!$A$3:$K$24,10,FALSE),"")))),"",IF(OR(OR(ISNUMBER(SEARCH("Hach",$B162)),ISNUMBER(SEARCH("Ketamina",$B162))),AND(IFERROR(VLOOKUP($B162,'Base de datos'!$A$3:$K$24,9,FALSE),"")&lt;&gt;"",IFERROR(VLOOKUP($B162,'Base de datos'!$A$3:$K$24,9,FALSE),"")&lt;&gt;0)),"",IFERROR($M162*VLOOKUP($B162,'Base de datos'!$A$3:$K$24,8,FALSE)/1000,""))))</f>
        <v/>
      </c>
      <c r="G162" s="7" t="str">
        <f>IF($B162="","",IF(OR(UPPER(IFERROR(VLOOKUP($B162,'Base de datos'!$A$3:$K$24,11,FALSE),""))="NO",ISNUMBER(SEARCH("no sometida",IFERROR(VLOOKUP($B162,'Base de datos'!$A$3:$K$24,10,FALSE),""))),ISNUMBER(SEARCH("no fiscal",IFERROR(VLOOKUP($B162,'Base de datos'!$A$3:$K$24,10,FALSE),"")))),"",IFERROR(IF(OR(ISNUMBER(SEARCH("Hach",$B162)),ISNUMBER(SEARCH("Ketamina",$B162))),IF(VLOOKUP($B162,'Base de datos'!$A$3:$K$24,6,FALSE)="","",$E162*VLOOKUP($B162,'Base de datos'!$A$3:$K$24,6,FALSE)),IF(AND(IFERROR(VLOOKUP($B162,'Base de datos'!$A$3:$K$24,9,FALSE),"")&lt;&gt;"",IFERROR(VLOOKUP($B162,'Base de datos'!$A$3:$K$24,9,FALSE),"")&lt;&gt;0),"",IF(VLOOKUP($B162,'Base de datos'!$A$3:$K$24,6,FALSE)="","",$N162*VLOOKUP($B162,'Base de datos'!$A$3:$K$24,6,FALSE)))),"")))</f>
        <v/>
      </c>
      <c r="H162" s="7" t="str">
        <f>IF($B162="","",IF(OR(UPPER(IFERROR(VLOOKUP($B162,'Base de datos'!$A$3:$K$24,11,FALSE),""))="NO",ISNUMBER(SEARCH("no sometida",IFERROR(VLOOKUP($B162,'Base de datos'!$A$3:$K$24,10,FALSE),""))),ISNUMBER(SEARCH("no fiscal",IFERROR(VLOOKUP($B162,'Base de datos'!$A$3:$K$24,10,FALSE),"")))),"",IF(OR(ISNUMBER(SEARCH("Hach",$B162)),ISNUMBER(SEARCH("Ketamina",$B162))),"",IF(AND(IFERROR(VLOOKUP($B162,'Base de datos'!$A$3:$K$24,9,FALSE),"")&lt;&gt;"",IFERROR(VLOOKUP($B162,'Base de datos'!$A$3:$K$24,9,FALSE),"")&lt;&gt;0),$E162*IFERROR(VLOOKUP($B162,'Base de datos'!$A$3:$K$24,9,FALSE),""),IFERROR($O162*VLOOKUP($B162,'Base de datos'!$A$3:$K$24,4,FALSE),"")))))</f>
        <v/>
      </c>
      <c r="I162" s="5" t="str">
        <f>IFERROR(VLOOKUP($B162,'Base de datos'!$A$3:$K$24,7,FALSE),"")</f>
        <v/>
      </c>
      <c r="J162" s="13" t="str">
        <f>IFERROR(VLOOKUP($B162,'Base de datos'!$A$3:$K$24,10,FALSE),"")</f>
        <v/>
      </c>
      <c r="K162" s="6"/>
      <c r="L162" s="4"/>
      <c r="M162" s="6" t="str">
        <f>IF(OR(OR(UPPER(IFERROR(VLOOKUP($B162,'Base de datos'!$A$3:$K$24,11,FALSE),""))="NO",ISNUMBER(SEARCH("no sometida",IFERROR(VLOOKUP($B162,'Base de datos'!$A$3:$K$24,10,FALSE),""))),ISNUMBER(SEARCH("no fiscal",IFERROR(VLOOKUP($B162,'Base de datos'!$A$3:$K$24,10,FALSE),"")))),OR(ISNUMBER(SEARCH("Hach",$B162)),ISNUMBER(SEARCH("Ketamina",$B162))),AND(IFERROR(VLOOKUP($B162,'Base de datos'!$A$3:$K$24,9,FALSE),"")&lt;&gt;"",IFERROR(VLOOKUP($B162,'Base de datos'!$A$3:$K$24,9,FALSE),"")&lt;&gt;0)),"",IFERROR($E162*$C162/$I162,""))</f>
        <v/>
      </c>
      <c r="N162" s="6" t="str">
        <f>IF(OR(OR(UPPER(IFERROR(VLOOKUP($B162,'Base de datos'!$A$3:$K$24,11,FALSE),""))="NO",ISNUMBER(SEARCH("no sometida",IFERROR(VLOOKUP($B162,'Base de datos'!$A$3:$K$24,10,FALSE),""))),ISNUMBER(SEARCH("no fiscal",IFERROR(VLOOKUP($B162,'Base de datos'!$A$3:$K$24,10,FALSE),"")))),OR(ISNUMBER(SEARCH("Hach",$B162)),ISNUMBER(SEARCH("Ketamina",$B162))),AND(IFERROR(VLOOKUP($B162,'Base de datos'!$A$3:$K$24,9,FALSE),"")&lt;&gt;"",IFERROR(VLOOKUP($B162,'Base de datos'!$A$3:$K$24,9,FALSE),"")&lt;&gt;0)),"",IFERROR($E162*$C162/IFERROR(VLOOKUP($B162,'Base de datos'!$A$3:$K$24,5,FALSE),0),""))</f>
        <v/>
      </c>
      <c r="O162" s="6" t="str">
        <f>IF(OR(OR(UPPER(IFERROR(VLOOKUP($B162,'Base de datos'!$A$3:$K$24,11,FALSE),""))="NO",ISNUMBER(SEARCH("no sometida",IFERROR(VLOOKUP($B162,'Base de datos'!$A$3:$K$24,10,FALSE),""))),ISNUMBER(SEARCH("no fiscal",IFERROR(VLOOKUP($B162,'Base de datos'!$A$3:$K$24,10,FALSE),"")))),OR(ISNUMBER(SEARCH("Hach",$B162)),ISNUMBER(SEARCH("Ketamina",$B162))),AND(IFERROR(VLOOKUP($B162,'Base de datos'!$A$3:$K$24,9,FALSE),"")&lt;&gt;"",IFERROR(VLOOKUP($B162,'Base de datos'!$A$3:$K$24,9,FALSE),"")&lt;&gt;0)),"",IFERROR((($E162*$C162/IFERROR(VLOOKUP($B162,'Base de datos'!$A$3:$K$24,3,FALSE),0))*1000)/IFERROR(VLOOKUP($B162,'Base de datos'!$A$3:$K$24,2,FALSE),0),""))</f>
        <v/>
      </c>
    </row>
    <row r="163" spans="1:15" x14ac:dyDescent="0.25">
      <c r="A163" s="4"/>
      <c r="B163" s="4"/>
      <c r="C163" s="5" t="str">
        <f>IFERROR(VLOOKUP($B163,'Base de datos'!$A$3:$K$24,3,FALSE),"")</f>
        <v/>
      </c>
      <c r="D163" s="4" t="str">
        <f t="shared" si="4"/>
        <v/>
      </c>
      <c r="E163" s="6"/>
      <c r="F163" s="7" t="str">
        <f>IF($B163="","",IF(OR(UPPER(IFERROR(VLOOKUP($B163,'Base de datos'!$A$3:$K$24,11,FALSE),""))="NO",ISNUMBER(SEARCH("no sometida",IFERROR(VLOOKUP($B163,'Base de datos'!$A$3:$K$24,10,FALSE),""))),ISNUMBER(SEARCH("no fiscal",IFERROR(VLOOKUP($B163,'Base de datos'!$A$3:$K$24,10,FALSE),"")))),"",IF(OR(OR(ISNUMBER(SEARCH("Hach",$B163)),ISNUMBER(SEARCH("Ketamina",$B163))),AND(IFERROR(VLOOKUP($B163,'Base de datos'!$A$3:$K$24,9,FALSE),"")&lt;&gt;"",IFERROR(VLOOKUP($B163,'Base de datos'!$A$3:$K$24,9,FALSE),"")&lt;&gt;0)),"",IFERROR($M163*VLOOKUP($B163,'Base de datos'!$A$3:$K$24,8,FALSE)/1000,""))))</f>
        <v/>
      </c>
      <c r="G163" s="7" t="str">
        <f>IF($B163="","",IF(OR(UPPER(IFERROR(VLOOKUP($B163,'Base de datos'!$A$3:$K$24,11,FALSE),""))="NO",ISNUMBER(SEARCH("no sometida",IFERROR(VLOOKUP($B163,'Base de datos'!$A$3:$K$24,10,FALSE),""))),ISNUMBER(SEARCH("no fiscal",IFERROR(VLOOKUP($B163,'Base de datos'!$A$3:$K$24,10,FALSE),"")))),"",IFERROR(IF(OR(ISNUMBER(SEARCH("Hach",$B163)),ISNUMBER(SEARCH("Ketamina",$B163))),IF(VLOOKUP($B163,'Base de datos'!$A$3:$K$24,6,FALSE)="","",$E163*VLOOKUP($B163,'Base de datos'!$A$3:$K$24,6,FALSE)),IF(AND(IFERROR(VLOOKUP($B163,'Base de datos'!$A$3:$K$24,9,FALSE),"")&lt;&gt;"",IFERROR(VLOOKUP($B163,'Base de datos'!$A$3:$K$24,9,FALSE),"")&lt;&gt;0),"",IF(VLOOKUP($B163,'Base de datos'!$A$3:$K$24,6,FALSE)="","",$N163*VLOOKUP($B163,'Base de datos'!$A$3:$K$24,6,FALSE)))),"")))</f>
        <v/>
      </c>
      <c r="H163" s="7" t="str">
        <f>IF($B163="","",IF(OR(UPPER(IFERROR(VLOOKUP($B163,'Base de datos'!$A$3:$K$24,11,FALSE),""))="NO",ISNUMBER(SEARCH("no sometida",IFERROR(VLOOKUP($B163,'Base de datos'!$A$3:$K$24,10,FALSE),""))),ISNUMBER(SEARCH("no fiscal",IFERROR(VLOOKUP($B163,'Base de datos'!$A$3:$K$24,10,FALSE),"")))),"",IF(OR(ISNUMBER(SEARCH("Hach",$B163)),ISNUMBER(SEARCH("Ketamina",$B163))),"",IF(AND(IFERROR(VLOOKUP($B163,'Base de datos'!$A$3:$K$24,9,FALSE),"")&lt;&gt;"",IFERROR(VLOOKUP($B163,'Base de datos'!$A$3:$K$24,9,FALSE),"")&lt;&gt;0),$E163*IFERROR(VLOOKUP($B163,'Base de datos'!$A$3:$K$24,9,FALSE),""),IFERROR($O163*VLOOKUP($B163,'Base de datos'!$A$3:$K$24,4,FALSE),"")))))</f>
        <v/>
      </c>
      <c r="I163" s="5" t="str">
        <f>IFERROR(VLOOKUP($B163,'Base de datos'!$A$3:$K$24,7,FALSE),"")</f>
        <v/>
      </c>
      <c r="J163" s="13" t="str">
        <f>IFERROR(VLOOKUP($B163,'Base de datos'!$A$3:$K$24,10,FALSE),"")</f>
        <v/>
      </c>
      <c r="K163" s="6"/>
      <c r="L163" s="4"/>
      <c r="M163" s="6" t="str">
        <f>IF(OR(OR(UPPER(IFERROR(VLOOKUP($B163,'Base de datos'!$A$3:$K$24,11,FALSE),""))="NO",ISNUMBER(SEARCH("no sometida",IFERROR(VLOOKUP($B163,'Base de datos'!$A$3:$K$24,10,FALSE),""))),ISNUMBER(SEARCH("no fiscal",IFERROR(VLOOKUP($B163,'Base de datos'!$A$3:$K$24,10,FALSE),"")))),OR(ISNUMBER(SEARCH("Hach",$B163)),ISNUMBER(SEARCH("Ketamina",$B163))),AND(IFERROR(VLOOKUP($B163,'Base de datos'!$A$3:$K$24,9,FALSE),"")&lt;&gt;"",IFERROR(VLOOKUP($B163,'Base de datos'!$A$3:$K$24,9,FALSE),"")&lt;&gt;0)),"",IFERROR($E163*$C163/$I163,""))</f>
        <v/>
      </c>
      <c r="N163" s="6" t="str">
        <f>IF(OR(OR(UPPER(IFERROR(VLOOKUP($B163,'Base de datos'!$A$3:$K$24,11,FALSE),""))="NO",ISNUMBER(SEARCH("no sometida",IFERROR(VLOOKUP($B163,'Base de datos'!$A$3:$K$24,10,FALSE),""))),ISNUMBER(SEARCH("no fiscal",IFERROR(VLOOKUP($B163,'Base de datos'!$A$3:$K$24,10,FALSE),"")))),OR(ISNUMBER(SEARCH("Hach",$B163)),ISNUMBER(SEARCH("Ketamina",$B163))),AND(IFERROR(VLOOKUP($B163,'Base de datos'!$A$3:$K$24,9,FALSE),"")&lt;&gt;"",IFERROR(VLOOKUP($B163,'Base de datos'!$A$3:$K$24,9,FALSE),"")&lt;&gt;0)),"",IFERROR($E163*$C163/IFERROR(VLOOKUP($B163,'Base de datos'!$A$3:$K$24,5,FALSE),0),""))</f>
        <v/>
      </c>
      <c r="O163" s="6" t="str">
        <f>IF(OR(OR(UPPER(IFERROR(VLOOKUP($B163,'Base de datos'!$A$3:$K$24,11,FALSE),""))="NO",ISNUMBER(SEARCH("no sometida",IFERROR(VLOOKUP($B163,'Base de datos'!$A$3:$K$24,10,FALSE),""))),ISNUMBER(SEARCH("no fiscal",IFERROR(VLOOKUP($B163,'Base de datos'!$A$3:$K$24,10,FALSE),"")))),OR(ISNUMBER(SEARCH("Hach",$B163)),ISNUMBER(SEARCH("Ketamina",$B163))),AND(IFERROR(VLOOKUP($B163,'Base de datos'!$A$3:$K$24,9,FALSE),"")&lt;&gt;"",IFERROR(VLOOKUP($B163,'Base de datos'!$A$3:$K$24,9,FALSE),"")&lt;&gt;0)),"",IFERROR((($E163*$C163/IFERROR(VLOOKUP($B163,'Base de datos'!$A$3:$K$24,3,FALSE),0))*1000)/IFERROR(VLOOKUP($B163,'Base de datos'!$A$3:$K$24,2,FALSE),0),""))</f>
        <v/>
      </c>
    </row>
    <row r="164" spans="1:15" x14ac:dyDescent="0.25">
      <c r="A164" s="4"/>
      <c r="B164" s="4"/>
      <c r="C164" s="5" t="str">
        <f>IFERROR(VLOOKUP($B164,'Base de datos'!$A$3:$K$24,3,FALSE),"")</f>
        <v/>
      </c>
      <c r="D164" s="4" t="str">
        <f t="shared" si="4"/>
        <v/>
      </c>
      <c r="E164" s="6"/>
      <c r="F164" s="7" t="str">
        <f>IF($B164="","",IF(OR(UPPER(IFERROR(VLOOKUP($B164,'Base de datos'!$A$3:$K$24,11,FALSE),""))="NO",ISNUMBER(SEARCH("no sometida",IFERROR(VLOOKUP($B164,'Base de datos'!$A$3:$K$24,10,FALSE),""))),ISNUMBER(SEARCH("no fiscal",IFERROR(VLOOKUP($B164,'Base de datos'!$A$3:$K$24,10,FALSE),"")))),"",IF(OR(OR(ISNUMBER(SEARCH("Hach",$B164)),ISNUMBER(SEARCH("Ketamina",$B164))),AND(IFERROR(VLOOKUP($B164,'Base de datos'!$A$3:$K$24,9,FALSE),"")&lt;&gt;"",IFERROR(VLOOKUP($B164,'Base de datos'!$A$3:$K$24,9,FALSE),"")&lt;&gt;0)),"",IFERROR($M164*VLOOKUP($B164,'Base de datos'!$A$3:$K$24,8,FALSE)/1000,""))))</f>
        <v/>
      </c>
      <c r="G164" s="7" t="str">
        <f>IF($B164="","",IF(OR(UPPER(IFERROR(VLOOKUP($B164,'Base de datos'!$A$3:$K$24,11,FALSE),""))="NO",ISNUMBER(SEARCH("no sometida",IFERROR(VLOOKUP($B164,'Base de datos'!$A$3:$K$24,10,FALSE),""))),ISNUMBER(SEARCH("no fiscal",IFERROR(VLOOKUP($B164,'Base de datos'!$A$3:$K$24,10,FALSE),"")))),"",IFERROR(IF(OR(ISNUMBER(SEARCH("Hach",$B164)),ISNUMBER(SEARCH("Ketamina",$B164))),IF(VLOOKUP($B164,'Base de datos'!$A$3:$K$24,6,FALSE)="","",$E164*VLOOKUP($B164,'Base de datos'!$A$3:$K$24,6,FALSE)),IF(AND(IFERROR(VLOOKUP($B164,'Base de datos'!$A$3:$K$24,9,FALSE),"")&lt;&gt;"",IFERROR(VLOOKUP($B164,'Base de datos'!$A$3:$K$24,9,FALSE),"")&lt;&gt;0),"",IF(VLOOKUP($B164,'Base de datos'!$A$3:$K$24,6,FALSE)="","",$N164*VLOOKUP($B164,'Base de datos'!$A$3:$K$24,6,FALSE)))),"")))</f>
        <v/>
      </c>
      <c r="H164" s="7" t="str">
        <f>IF($B164="","",IF(OR(UPPER(IFERROR(VLOOKUP($B164,'Base de datos'!$A$3:$K$24,11,FALSE),""))="NO",ISNUMBER(SEARCH("no sometida",IFERROR(VLOOKUP($B164,'Base de datos'!$A$3:$K$24,10,FALSE),""))),ISNUMBER(SEARCH("no fiscal",IFERROR(VLOOKUP($B164,'Base de datos'!$A$3:$K$24,10,FALSE),"")))),"",IF(OR(ISNUMBER(SEARCH("Hach",$B164)),ISNUMBER(SEARCH("Ketamina",$B164))),"",IF(AND(IFERROR(VLOOKUP($B164,'Base de datos'!$A$3:$K$24,9,FALSE),"")&lt;&gt;"",IFERROR(VLOOKUP($B164,'Base de datos'!$A$3:$K$24,9,FALSE),"")&lt;&gt;0),$E164*IFERROR(VLOOKUP($B164,'Base de datos'!$A$3:$K$24,9,FALSE),""),IFERROR($O164*VLOOKUP($B164,'Base de datos'!$A$3:$K$24,4,FALSE),"")))))</f>
        <v/>
      </c>
      <c r="I164" s="5" t="str">
        <f>IFERROR(VLOOKUP($B164,'Base de datos'!$A$3:$K$24,7,FALSE),"")</f>
        <v/>
      </c>
      <c r="J164" s="13" t="str">
        <f>IFERROR(VLOOKUP($B164,'Base de datos'!$A$3:$K$24,10,FALSE),"")</f>
        <v/>
      </c>
      <c r="K164" s="6"/>
      <c r="L164" s="4"/>
      <c r="M164" s="6" t="str">
        <f>IF(OR(OR(UPPER(IFERROR(VLOOKUP($B164,'Base de datos'!$A$3:$K$24,11,FALSE),""))="NO",ISNUMBER(SEARCH("no sometida",IFERROR(VLOOKUP($B164,'Base de datos'!$A$3:$K$24,10,FALSE),""))),ISNUMBER(SEARCH("no fiscal",IFERROR(VLOOKUP($B164,'Base de datos'!$A$3:$K$24,10,FALSE),"")))),OR(ISNUMBER(SEARCH("Hach",$B164)),ISNUMBER(SEARCH("Ketamina",$B164))),AND(IFERROR(VLOOKUP($B164,'Base de datos'!$A$3:$K$24,9,FALSE),"")&lt;&gt;"",IFERROR(VLOOKUP($B164,'Base de datos'!$A$3:$K$24,9,FALSE),"")&lt;&gt;0)),"",IFERROR($E164*$C164/$I164,""))</f>
        <v/>
      </c>
      <c r="N164" s="6" t="str">
        <f>IF(OR(OR(UPPER(IFERROR(VLOOKUP($B164,'Base de datos'!$A$3:$K$24,11,FALSE),""))="NO",ISNUMBER(SEARCH("no sometida",IFERROR(VLOOKUP($B164,'Base de datos'!$A$3:$K$24,10,FALSE),""))),ISNUMBER(SEARCH("no fiscal",IFERROR(VLOOKUP($B164,'Base de datos'!$A$3:$K$24,10,FALSE),"")))),OR(ISNUMBER(SEARCH("Hach",$B164)),ISNUMBER(SEARCH("Ketamina",$B164))),AND(IFERROR(VLOOKUP($B164,'Base de datos'!$A$3:$K$24,9,FALSE),"")&lt;&gt;"",IFERROR(VLOOKUP($B164,'Base de datos'!$A$3:$K$24,9,FALSE),"")&lt;&gt;0)),"",IFERROR($E164*$C164/IFERROR(VLOOKUP($B164,'Base de datos'!$A$3:$K$24,5,FALSE),0),""))</f>
        <v/>
      </c>
      <c r="O164" s="6" t="str">
        <f>IF(OR(OR(UPPER(IFERROR(VLOOKUP($B164,'Base de datos'!$A$3:$K$24,11,FALSE),""))="NO",ISNUMBER(SEARCH("no sometida",IFERROR(VLOOKUP($B164,'Base de datos'!$A$3:$K$24,10,FALSE),""))),ISNUMBER(SEARCH("no fiscal",IFERROR(VLOOKUP($B164,'Base de datos'!$A$3:$K$24,10,FALSE),"")))),OR(ISNUMBER(SEARCH("Hach",$B164)),ISNUMBER(SEARCH("Ketamina",$B164))),AND(IFERROR(VLOOKUP($B164,'Base de datos'!$A$3:$K$24,9,FALSE),"")&lt;&gt;"",IFERROR(VLOOKUP($B164,'Base de datos'!$A$3:$K$24,9,FALSE),"")&lt;&gt;0)),"",IFERROR((($E164*$C164/IFERROR(VLOOKUP($B164,'Base de datos'!$A$3:$K$24,3,FALSE),0))*1000)/IFERROR(VLOOKUP($B164,'Base de datos'!$A$3:$K$24,2,FALSE),0),""))</f>
        <v/>
      </c>
    </row>
    <row r="165" spans="1:15" x14ac:dyDescent="0.25">
      <c r="A165" s="4"/>
      <c r="B165" s="4"/>
      <c r="C165" s="5" t="str">
        <f>IFERROR(VLOOKUP($B165,'Base de datos'!$A$3:$K$24,3,FALSE),"")</f>
        <v/>
      </c>
      <c r="D165" s="4" t="str">
        <f t="shared" ref="D165:D196" si="5">IF($B165="","",$B165)</f>
        <v/>
      </c>
      <c r="E165" s="6"/>
      <c r="F165" s="7" t="str">
        <f>IF($B165="","",IF(OR(UPPER(IFERROR(VLOOKUP($B165,'Base de datos'!$A$3:$K$24,11,FALSE),""))="NO",ISNUMBER(SEARCH("no sometida",IFERROR(VLOOKUP($B165,'Base de datos'!$A$3:$K$24,10,FALSE),""))),ISNUMBER(SEARCH("no fiscal",IFERROR(VLOOKUP($B165,'Base de datos'!$A$3:$K$24,10,FALSE),"")))),"",IF(OR(OR(ISNUMBER(SEARCH("Hach",$B165)),ISNUMBER(SEARCH("Ketamina",$B165))),AND(IFERROR(VLOOKUP($B165,'Base de datos'!$A$3:$K$24,9,FALSE),"")&lt;&gt;"",IFERROR(VLOOKUP($B165,'Base de datos'!$A$3:$K$24,9,FALSE),"")&lt;&gt;0)),"",IFERROR($M165*VLOOKUP($B165,'Base de datos'!$A$3:$K$24,8,FALSE)/1000,""))))</f>
        <v/>
      </c>
      <c r="G165" s="7" t="str">
        <f>IF($B165="","",IF(OR(UPPER(IFERROR(VLOOKUP($B165,'Base de datos'!$A$3:$K$24,11,FALSE),""))="NO",ISNUMBER(SEARCH("no sometida",IFERROR(VLOOKUP($B165,'Base de datos'!$A$3:$K$24,10,FALSE),""))),ISNUMBER(SEARCH("no fiscal",IFERROR(VLOOKUP($B165,'Base de datos'!$A$3:$K$24,10,FALSE),"")))),"",IFERROR(IF(OR(ISNUMBER(SEARCH("Hach",$B165)),ISNUMBER(SEARCH("Ketamina",$B165))),IF(VLOOKUP($B165,'Base de datos'!$A$3:$K$24,6,FALSE)="","",$E165*VLOOKUP($B165,'Base de datos'!$A$3:$K$24,6,FALSE)),IF(AND(IFERROR(VLOOKUP($B165,'Base de datos'!$A$3:$K$24,9,FALSE),"")&lt;&gt;"",IFERROR(VLOOKUP($B165,'Base de datos'!$A$3:$K$24,9,FALSE),"")&lt;&gt;0),"",IF(VLOOKUP($B165,'Base de datos'!$A$3:$K$24,6,FALSE)="","",$N165*VLOOKUP($B165,'Base de datos'!$A$3:$K$24,6,FALSE)))),"")))</f>
        <v/>
      </c>
      <c r="H165" s="7" t="str">
        <f>IF($B165="","",IF(OR(UPPER(IFERROR(VLOOKUP($B165,'Base de datos'!$A$3:$K$24,11,FALSE),""))="NO",ISNUMBER(SEARCH("no sometida",IFERROR(VLOOKUP($B165,'Base de datos'!$A$3:$K$24,10,FALSE),""))),ISNUMBER(SEARCH("no fiscal",IFERROR(VLOOKUP($B165,'Base de datos'!$A$3:$K$24,10,FALSE),"")))),"",IF(OR(ISNUMBER(SEARCH("Hach",$B165)),ISNUMBER(SEARCH("Ketamina",$B165))),"",IF(AND(IFERROR(VLOOKUP($B165,'Base de datos'!$A$3:$K$24,9,FALSE),"")&lt;&gt;"",IFERROR(VLOOKUP($B165,'Base de datos'!$A$3:$K$24,9,FALSE),"")&lt;&gt;0),$E165*IFERROR(VLOOKUP($B165,'Base de datos'!$A$3:$K$24,9,FALSE),""),IFERROR($O165*VLOOKUP($B165,'Base de datos'!$A$3:$K$24,4,FALSE),"")))))</f>
        <v/>
      </c>
      <c r="I165" s="5" t="str">
        <f>IFERROR(VLOOKUP($B165,'Base de datos'!$A$3:$K$24,7,FALSE),"")</f>
        <v/>
      </c>
      <c r="J165" s="13" t="str">
        <f>IFERROR(VLOOKUP($B165,'Base de datos'!$A$3:$K$24,10,FALSE),"")</f>
        <v/>
      </c>
      <c r="K165" s="6"/>
      <c r="L165" s="4"/>
      <c r="M165" s="6" t="str">
        <f>IF(OR(OR(UPPER(IFERROR(VLOOKUP($B165,'Base de datos'!$A$3:$K$24,11,FALSE),""))="NO",ISNUMBER(SEARCH("no sometida",IFERROR(VLOOKUP($B165,'Base de datos'!$A$3:$K$24,10,FALSE),""))),ISNUMBER(SEARCH("no fiscal",IFERROR(VLOOKUP($B165,'Base de datos'!$A$3:$K$24,10,FALSE),"")))),OR(ISNUMBER(SEARCH("Hach",$B165)),ISNUMBER(SEARCH("Ketamina",$B165))),AND(IFERROR(VLOOKUP($B165,'Base de datos'!$A$3:$K$24,9,FALSE),"")&lt;&gt;"",IFERROR(VLOOKUP($B165,'Base de datos'!$A$3:$K$24,9,FALSE),"")&lt;&gt;0)),"",IFERROR($E165*$C165/$I165,""))</f>
        <v/>
      </c>
      <c r="N165" s="6" t="str">
        <f>IF(OR(OR(UPPER(IFERROR(VLOOKUP($B165,'Base de datos'!$A$3:$K$24,11,FALSE),""))="NO",ISNUMBER(SEARCH("no sometida",IFERROR(VLOOKUP($B165,'Base de datos'!$A$3:$K$24,10,FALSE),""))),ISNUMBER(SEARCH("no fiscal",IFERROR(VLOOKUP($B165,'Base de datos'!$A$3:$K$24,10,FALSE),"")))),OR(ISNUMBER(SEARCH("Hach",$B165)),ISNUMBER(SEARCH("Ketamina",$B165))),AND(IFERROR(VLOOKUP($B165,'Base de datos'!$A$3:$K$24,9,FALSE),"")&lt;&gt;"",IFERROR(VLOOKUP($B165,'Base de datos'!$A$3:$K$24,9,FALSE),"")&lt;&gt;0)),"",IFERROR($E165*$C165/IFERROR(VLOOKUP($B165,'Base de datos'!$A$3:$K$24,5,FALSE),0),""))</f>
        <v/>
      </c>
      <c r="O165" s="6" t="str">
        <f>IF(OR(OR(UPPER(IFERROR(VLOOKUP($B165,'Base de datos'!$A$3:$K$24,11,FALSE),""))="NO",ISNUMBER(SEARCH("no sometida",IFERROR(VLOOKUP($B165,'Base de datos'!$A$3:$K$24,10,FALSE),""))),ISNUMBER(SEARCH("no fiscal",IFERROR(VLOOKUP($B165,'Base de datos'!$A$3:$K$24,10,FALSE),"")))),OR(ISNUMBER(SEARCH("Hach",$B165)),ISNUMBER(SEARCH("Ketamina",$B165))),AND(IFERROR(VLOOKUP($B165,'Base de datos'!$A$3:$K$24,9,FALSE),"")&lt;&gt;"",IFERROR(VLOOKUP($B165,'Base de datos'!$A$3:$K$24,9,FALSE),"")&lt;&gt;0)),"",IFERROR((($E165*$C165/IFERROR(VLOOKUP($B165,'Base de datos'!$A$3:$K$24,3,FALSE),0))*1000)/IFERROR(VLOOKUP($B165,'Base de datos'!$A$3:$K$24,2,FALSE),0),""))</f>
        <v/>
      </c>
    </row>
    <row r="166" spans="1:15" x14ac:dyDescent="0.25">
      <c r="A166" s="4"/>
      <c r="B166" s="4"/>
      <c r="C166" s="5" t="str">
        <f>IFERROR(VLOOKUP($B166,'Base de datos'!$A$3:$K$24,3,FALSE),"")</f>
        <v/>
      </c>
      <c r="D166" s="4" t="str">
        <f t="shared" si="5"/>
        <v/>
      </c>
      <c r="E166" s="6"/>
      <c r="F166" s="7" t="str">
        <f>IF($B166="","",IF(OR(UPPER(IFERROR(VLOOKUP($B166,'Base de datos'!$A$3:$K$24,11,FALSE),""))="NO",ISNUMBER(SEARCH("no sometida",IFERROR(VLOOKUP($B166,'Base de datos'!$A$3:$K$24,10,FALSE),""))),ISNUMBER(SEARCH("no fiscal",IFERROR(VLOOKUP($B166,'Base de datos'!$A$3:$K$24,10,FALSE),"")))),"",IF(OR(OR(ISNUMBER(SEARCH("Hach",$B166)),ISNUMBER(SEARCH("Ketamina",$B166))),AND(IFERROR(VLOOKUP($B166,'Base de datos'!$A$3:$K$24,9,FALSE),"")&lt;&gt;"",IFERROR(VLOOKUP($B166,'Base de datos'!$A$3:$K$24,9,FALSE),"")&lt;&gt;0)),"",IFERROR($M166*VLOOKUP($B166,'Base de datos'!$A$3:$K$24,8,FALSE)/1000,""))))</f>
        <v/>
      </c>
      <c r="G166" s="7" t="str">
        <f>IF($B166="","",IF(OR(UPPER(IFERROR(VLOOKUP($B166,'Base de datos'!$A$3:$K$24,11,FALSE),""))="NO",ISNUMBER(SEARCH("no sometida",IFERROR(VLOOKUP($B166,'Base de datos'!$A$3:$K$24,10,FALSE),""))),ISNUMBER(SEARCH("no fiscal",IFERROR(VLOOKUP($B166,'Base de datos'!$A$3:$K$24,10,FALSE),"")))),"",IFERROR(IF(OR(ISNUMBER(SEARCH("Hach",$B166)),ISNUMBER(SEARCH("Ketamina",$B166))),IF(VLOOKUP($B166,'Base de datos'!$A$3:$K$24,6,FALSE)="","",$E166*VLOOKUP($B166,'Base de datos'!$A$3:$K$24,6,FALSE)),IF(AND(IFERROR(VLOOKUP($B166,'Base de datos'!$A$3:$K$24,9,FALSE),"")&lt;&gt;"",IFERROR(VLOOKUP($B166,'Base de datos'!$A$3:$K$24,9,FALSE),"")&lt;&gt;0),"",IF(VLOOKUP($B166,'Base de datos'!$A$3:$K$24,6,FALSE)="","",$N166*VLOOKUP($B166,'Base de datos'!$A$3:$K$24,6,FALSE)))),"")))</f>
        <v/>
      </c>
      <c r="H166" s="7" t="str">
        <f>IF($B166="","",IF(OR(UPPER(IFERROR(VLOOKUP($B166,'Base de datos'!$A$3:$K$24,11,FALSE),""))="NO",ISNUMBER(SEARCH("no sometida",IFERROR(VLOOKUP($B166,'Base de datos'!$A$3:$K$24,10,FALSE),""))),ISNUMBER(SEARCH("no fiscal",IFERROR(VLOOKUP($B166,'Base de datos'!$A$3:$K$24,10,FALSE),"")))),"",IF(OR(ISNUMBER(SEARCH("Hach",$B166)),ISNUMBER(SEARCH("Ketamina",$B166))),"",IF(AND(IFERROR(VLOOKUP($B166,'Base de datos'!$A$3:$K$24,9,FALSE),"")&lt;&gt;"",IFERROR(VLOOKUP($B166,'Base de datos'!$A$3:$K$24,9,FALSE),"")&lt;&gt;0),$E166*IFERROR(VLOOKUP($B166,'Base de datos'!$A$3:$K$24,9,FALSE),""),IFERROR($O166*VLOOKUP($B166,'Base de datos'!$A$3:$K$24,4,FALSE),"")))))</f>
        <v/>
      </c>
      <c r="I166" s="5" t="str">
        <f>IFERROR(VLOOKUP($B166,'Base de datos'!$A$3:$K$24,7,FALSE),"")</f>
        <v/>
      </c>
      <c r="J166" s="13" t="str">
        <f>IFERROR(VLOOKUP($B166,'Base de datos'!$A$3:$K$24,10,FALSE),"")</f>
        <v/>
      </c>
      <c r="K166" s="6"/>
      <c r="L166" s="4"/>
      <c r="M166" s="6" t="str">
        <f>IF(OR(OR(UPPER(IFERROR(VLOOKUP($B166,'Base de datos'!$A$3:$K$24,11,FALSE),""))="NO",ISNUMBER(SEARCH("no sometida",IFERROR(VLOOKUP($B166,'Base de datos'!$A$3:$K$24,10,FALSE),""))),ISNUMBER(SEARCH("no fiscal",IFERROR(VLOOKUP($B166,'Base de datos'!$A$3:$K$24,10,FALSE),"")))),OR(ISNUMBER(SEARCH("Hach",$B166)),ISNUMBER(SEARCH("Ketamina",$B166))),AND(IFERROR(VLOOKUP($B166,'Base de datos'!$A$3:$K$24,9,FALSE),"")&lt;&gt;"",IFERROR(VLOOKUP($B166,'Base de datos'!$A$3:$K$24,9,FALSE),"")&lt;&gt;0)),"",IFERROR($E166*$C166/$I166,""))</f>
        <v/>
      </c>
      <c r="N166" s="6" t="str">
        <f>IF(OR(OR(UPPER(IFERROR(VLOOKUP($B166,'Base de datos'!$A$3:$K$24,11,FALSE),""))="NO",ISNUMBER(SEARCH("no sometida",IFERROR(VLOOKUP($B166,'Base de datos'!$A$3:$K$24,10,FALSE),""))),ISNUMBER(SEARCH("no fiscal",IFERROR(VLOOKUP($B166,'Base de datos'!$A$3:$K$24,10,FALSE),"")))),OR(ISNUMBER(SEARCH("Hach",$B166)),ISNUMBER(SEARCH("Ketamina",$B166))),AND(IFERROR(VLOOKUP($B166,'Base de datos'!$A$3:$K$24,9,FALSE),"")&lt;&gt;"",IFERROR(VLOOKUP($B166,'Base de datos'!$A$3:$K$24,9,FALSE),"")&lt;&gt;0)),"",IFERROR($E166*$C166/IFERROR(VLOOKUP($B166,'Base de datos'!$A$3:$K$24,5,FALSE),0),""))</f>
        <v/>
      </c>
      <c r="O166" s="6" t="str">
        <f>IF(OR(OR(UPPER(IFERROR(VLOOKUP($B166,'Base de datos'!$A$3:$K$24,11,FALSE),""))="NO",ISNUMBER(SEARCH("no sometida",IFERROR(VLOOKUP($B166,'Base de datos'!$A$3:$K$24,10,FALSE),""))),ISNUMBER(SEARCH("no fiscal",IFERROR(VLOOKUP($B166,'Base de datos'!$A$3:$K$24,10,FALSE),"")))),OR(ISNUMBER(SEARCH("Hach",$B166)),ISNUMBER(SEARCH("Ketamina",$B166))),AND(IFERROR(VLOOKUP($B166,'Base de datos'!$A$3:$K$24,9,FALSE),"")&lt;&gt;"",IFERROR(VLOOKUP($B166,'Base de datos'!$A$3:$K$24,9,FALSE),"")&lt;&gt;0)),"",IFERROR((($E166*$C166/IFERROR(VLOOKUP($B166,'Base de datos'!$A$3:$K$24,3,FALSE),0))*1000)/IFERROR(VLOOKUP($B166,'Base de datos'!$A$3:$K$24,2,FALSE),0),""))</f>
        <v/>
      </c>
    </row>
    <row r="167" spans="1:15" x14ac:dyDescent="0.25">
      <c r="A167" s="4"/>
      <c r="B167" s="4"/>
      <c r="C167" s="5" t="str">
        <f>IFERROR(VLOOKUP($B167,'Base de datos'!$A$3:$K$24,3,FALSE),"")</f>
        <v/>
      </c>
      <c r="D167" s="4" t="str">
        <f t="shared" si="5"/>
        <v/>
      </c>
      <c r="E167" s="6"/>
      <c r="F167" s="7" t="str">
        <f>IF($B167="","",IF(OR(UPPER(IFERROR(VLOOKUP($B167,'Base de datos'!$A$3:$K$24,11,FALSE),""))="NO",ISNUMBER(SEARCH("no sometida",IFERROR(VLOOKUP($B167,'Base de datos'!$A$3:$K$24,10,FALSE),""))),ISNUMBER(SEARCH("no fiscal",IFERROR(VLOOKUP($B167,'Base de datos'!$A$3:$K$24,10,FALSE),"")))),"",IF(OR(OR(ISNUMBER(SEARCH("Hach",$B167)),ISNUMBER(SEARCH("Ketamina",$B167))),AND(IFERROR(VLOOKUP($B167,'Base de datos'!$A$3:$K$24,9,FALSE),"")&lt;&gt;"",IFERROR(VLOOKUP($B167,'Base de datos'!$A$3:$K$24,9,FALSE),"")&lt;&gt;0)),"",IFERROR($M167*VLOOKUP($B167,'Base de datos'!$A$3:$K$24,8,FALSE)/1000,""))))</f>
        <v/>
      </c>
      <c r="G167" s="7" t="str">
        <f>IF($B167="","",IF(OR(UPPER(IFERROR(VLOOKUP($B167,'Base de datos'!$A$3:$K$24,11,FALSE),""))="NO",ISNUMBER(SEARCH("no sometida",IFERROR(VLOOKUP($B167,'Base de datos'!$A$3:$K$24,10,FALSE),""))),ISNUMBER(SEARCH("no fiscal",IFERROR(VLOOKUP($B167,'Base de datos'!$A$3:$K$24,10,FALSE),"")))),"",IFERROR(IF(OR(ISNUMBER(SEARCH("Hach",$B167)),ISNUMBER(SEARCH("Ketamina",$B167))),IF(VLOOKUP($B167,'Base de datos'!$A$3:$K$24,6,FALSE)="","",$E167*VLOOKUP($B167,'Base de datos'!$A$3:$K$24,6,FALSE)),IF(AND(IFERROR(VLOOKUP($B167,'Base de datos'!$A$3:$K$24,9,FALSE),"")&lt;&gt;"",IFERROR(VLOOKUP($B167,'Base de datos'!$A$3:$K$24,9,FALSE),"")&lt;&gt;0),"",IF(VLOOKUP($B167,'Base de datos'!$A$3:$K$24,6,FALSE)="","",$N167*VLOOKUP($B167,'Base de datos'!$A$3:$K$24,6,FALSE)))),"")))</f>
        <v/>
      </c>
      <c r="H167" s="7" t="str">
        <f>IF($B167="","",IF(OR(UPPER(IFERROR(VLOOKUP($B167,'Base de datos'!$A$3:$K$24,11,FALSE),""))="NO",ISNUMBER(SEARCH("no sometida",IFERROR(VLOOKUP($B167,'Base de datos'!$A$3:$K$24,10,FALSE),""))),ISNUMBER(SEARCH("no fiscal",IFERROR(VLOOKUP($B167,'Base de datos'!$A$3:$K$24,10,FALSE),"")))),"",IF(OR(ISNUMBER(SEARCH("Hach",$B167)),ISNUMBER(SEARCH("Ketamina",$B167))),"",IF(AND(IFERROR(VLOOKUP($B167,'Base de datos'!$A$3:$K$24,9,FALSE),"")&lt;&gt;"",IFERROR(VLOOKUP($B167,'Base de datos'!$A$3:$K$24,9,FALSE),"")&lt;&gt;0),$E167*IFERROR(VLOOKUP($B167,'Base de datos'!$A$3:$K$24,9,FALSE),""),IFERROR($O167*VLOOKUP($B167,'Base de datos'!$A$3:$K$24,4,FALSE),"")))))</f>
        <v/>
      </c>
      <c r="I167" s="5" t="str">
        <f>IFERROR(VLOOKUP($B167,'Base de datos'!$A$3:$K$24,7,FALSE),"")</f>
        <v/>
      </c>
      <c r="J167" s="13" t="str">
        <f>IFERROR(VLOOKUP($B167,'Base de datos'!$A$3:$K$24,10,FALSE),"")</f>
        <v/>
      </c>
      <c r="K167" s="6"/>
      <c r="L167" s="4"/>
      <c r="M167" s="6" t="str">
        <f>IF(OR(OR(UPPER(IFERROR(VLOOKUP($B167,'Base de datos'!$A$3:$K$24,11,FALSE),""))="NO",ISNUMBER(SEARCH("no sometida",IFERROR(VLOOKUP($B167,'Base de datos'!$A$3:$K$24,10,FALSE),""))),ISNUMBER(SEARCH("no fiscal",IFERROR(VLOOKUP($B167,'Base de datos'!$A$3:$K$24,10,FALSE),"")))),OR(ISNUMBER(SEARCH("Hach",$B167)),ISNUMBER(SEARCH("Ketamina",$B167))),AND(IFERROR(VLOOKUP($B167,'Base de datos'!$A$3:$K$24,9,FALSE),"")&lt;&gt;"",IFERROR(VLOOKUP($B167,'Base de datos'!$A$3:$K$24,9,FALSE),"")&lt;&gt;0)),"",IFERROR($E167*$C167/$I167,""))</f>
        <v/>
      </c>
      <c r="N167" s="6" t="str">
        <f>IF(OR(OR(UPPER(IFERROR(VLOOKUP($B167,'Base de datos'!$A$3:$K$24,11,FALSE),""))="NO",ISNUMBER(SEARCH("no sometida",IFERROR(VLOOKUP($B167,'Base de datos'!$A$3:$K$24,10,FALSE),""))),ISNUMBER(SEARCH("no fiscal",IFERROR(VLOOKUP($B167,'Base de datos'!$A$3:$K$24,10,FALSE),"")))),OR(ISNUMBER(SEARCH("Hach",$B167)),ISNUMBER(SEARCH("Ketamina",$B167))),AND(IFERROR(VLOOKUP($B167,'Base de datos'!$A$3:$K$24,9,FALSE),"")&lt;&gt;"",IFERROR(VLOOKUP($B167,'Base de datos'!$A$3:$K$24,9,FALSE),"")&lt;&gt;0)),"",IFERROR($E167*$C167/IFERROR(VLOOKUP($B167,'Base de datos'!$A$3:$K$24,5,FALSE),0),""))</f>
        <v/>
      </c>
      <c r="O167" s="6" t="str">
        <f>IF(OR(OR(UPPER(IFERROR(VLOOKUP($B167,'Base de datos'!$A$3:$K$24,11,FALSE),""))="NO",ISNUMBER(SEARCH("no sometida",IFERROR(VLOOKUP($B167,'Base de datos'!$A$3:$K$24,10,FALSE),""))),ISNUMBER(SEARCH("no fiscal",IFERROR(VLOOKUP($B167,'Base de datos'!$A$3:$K$24,10,FALSE),"")))),OR(ISNUMBER(SEARCH("Hach",$B167)),ISNUMBER(SEARCH("Ketamina",$B167))),AND(IFERROR(VLOOKUP($B167,'Base de datos'!$A$3:$K$24,9,FALSE),"")&lt;&gt;"",IFERROR(VLOOKUP($B167,'Base de datos'!$A$3:$K$24,9,FALSE),"")&lt;&gt;0)),"",IFERROR((($E167*$C167/IFERROR(VLOOKUP($B167,'Base de datos'!$A$3:$K$24,3,FALSE),0))*1000)/IFERROR(VLOOKUP($B167,'Base de datos'!$A$3:$K$24,2,FALSE),0),""))</f>
        <v/>
      </c>
    </row>
    <row r="168" spans="1:15" x14ac:dyDescent="0.25">
      <c r="A168" s="4"/>
      <c r="B168" s="4"/>
      <c r="C168" s="5" t="str">
        <f>IFERROR(VLOOKUP($B168,'Base de datos'!$A$3:$K$24,3,FALSE),"")</f>
        <v/>
      </c>
      <c r="D168" s="4" t="str">
        <f t="shared" si="5"/>
        <v/>
      </c>
      <c r="E168" s="6"/>
      <c r="F168" s="7" t="str">
        <f>IF($B168="","",IF(OR(UPPER(IFERROR(VLOOKUP($B168,'Base de datos'!$A$3:$K$24,11,FALSE),""))="NO",ISNUMBER(SEARCH("no sometida",IFERROR(VLOOKUP($B168,'Base de datos'!$A$3:$K$24,10,FALSE),""))),ISNUMBER(SEARCH("no fiscal",IFERROR(VLOOKUP($B168,'Base de datos'!$A$3:$K$24,10,FALSE),"")))),"",IF(OR(OR(ISNUMBER(SEARCH("Hach",$B168)),ISNUMBER(SEARCH("Ketamina",$B168))),AND(IFERROR(VLOOKUP($B168,'Base de datos'!$A$3:$K$24,9,FALSE),"")&lt;&gt;"",IFERROR(VLOOKUP($B168,'Base de datos'!$A$3:$K$24,9,FALSE),"")&lt;&gt;0)),"",IFERROR($M168*VLOOKUP($B168,'Base de datos'!$A$3:$K$24,8,FALSE)/1000,""))))</f>
        <v/>
      </c>
      <c r="G168" s="7" t="str">
        <f>IF($B168="","",IF(OR(UPPER(IFERROR(VLOOKUP($B168,'Base de datos'!$A$3:$K$24,11,FALSE),""))="NO",ISNUMBER(SEARCH("no sometida",IFERROR(VLOOKUP($B168,'Base de datos'!$A$3:$K$24,10,FALSE),""))),ISNUMBER(SEARCH("no fiscal",IFERROR(VLOOKUP($B168,'Base de datos'!$A$3:$K$24,10,FALSE),"")))),"",IFERROR(IF(OR(ISNUMBER(SEARCH("Hach",$B168)),ISNUMBER(SEARCH("Ketamina",$B168))),IF(VLOOKUP($B168,'Base de datos'!$A$3:$K$24,6,FALSE)="","",$E168*VLOOKUP($B168,'Base de datos'!$A$3:$K$24,6,FALSE)),IF(AND(IFERROR(VLOOKUP($B168,'Base de datos'!$A$3:$K$24,9,FALSE),"")&lt;&gt;"",IFERROR(VLOOKUP($B168,'Base de datos'!$A$3:$K$24,9,FALSE),"")&lt;&gt;0),"",IF(VLOOKUP($B168,'Base de datos'!$A$3:$K$24,6,FALSE)="","",$N168*VLOOKUP($B168,'Base de datos'!$A$3:$K$24,6,FALSE)))),"")))</f>
        <v/>
      </c>
      <c r="H168" s="7" t="str">
        <f>IF($B168="","",IF(OR(UPPER(IFERROR(VLOOKUP($B168,'Base de datos'!$A$3:$K$24,11,FALSE),""))="NO",ISNUMBER(SEARCH("no sometida",IFERROR(VLOOKUP($B168,'Base de datos'!$A$3:$K$24,10,FALSE),""))),ISNUMBER(SEARCH("no fiscal",IFERROR(VLOOKUP($B168,'Base de datos'!$A$3:$K$24,10,FALSE),"")))),"",IF(OR(ISNUMBER(SEARCH("Hach",$B168)),ISNUMBER(SEARCH("Ketamina",$B168))),"",IF(AND(IFERROR(VLOOKUP($B168,'Base de datos'!$A$3:$K$24,9,FALSE),"")&lt;&gt;"",IFERROR(VLOOKUP($B168,'Base de datos'!$A$3:$K$24,9,FALSE),"")&lt;&gt;0),$E168*IFERROR(VLOOKUP($B168,'Base de datos'!$A$3:$K$24,9,FALSE),""),IFERROR($O168*VLOOKUP($B168,'Base de datos'!$A$3:$K$24,4,FALSE),"")))))</f>
        <v/>
      </c>
      <c r="I168" s="5" t="str">
        <f>IFERROR(VLOOKUP($B168,'Base de datos'!$A$3:$K$24,7,FALSE),"")</f>
        <v/>
      </c>
      <c r="J168" s="13" t="str">
        <f>IFERROR(VLOOKUP($B168,'Base de datos'!$A$3:$K$24,10,FALSE),"")</f>
        <v/>
      </c>
      <c r="K168" s="6"/>
      <c r="L168" s="4"/>
      <c r="M168" s="6" t="str">
        <f>IF(OR(OR(UPPER(IFERROR(VLOOKUP($B168,'Base de datos'!$A$3:$K$24,11,FALSE),""))="NO",ISNUMBER(SEARCH("no sometida",IFERROR(VLOOKUP($B168,'Base de datos'!$A$3:$K$24,10,FALSE),""))),ISNUMBER(SEARCH("no fiscal",IFERROR(VLOOKUP($B168,'Base de datos'!$A$3:$K$24,10,FALSE),"")))),OR(ISNUMBER(SEARCH("Hach",$B168)),ISNUMBER(SEARCH("Ketamina",$B168))),AND(IFERROR(VLOOKUP($B168,'Base de datos'!$A$3:$K$24,9,FALSE),"")&lt;&gt;"",IFERROR(VLOOKUP($B168,'Base de datos'!$A$3:$K$24,9,FALSE),"")&lt;&gt;0)),"",IFERROR($E168*$C168/$I168,""))</f>
        <v/>
      </c>
      <c r="N168" s="6" t="str">
        <f>IF(OR(OR(UPPER(IFERROR(VLOOKUP($B168,'Base de datos'!$A$3:$K$24,11,FALSE),""))="NO",ISNUMBER(SEARCH("no sometida",IFERROR(VLOOKUP($B168,'Base de datos'!$A$3:$K$24,10,FALSE),""))),ISNUMBER(SEARCH("no fiscal",IFERROR(VLOOKUP($B168,'Base de datos'!$A$3:$K$24,10,FALSE),"")))),OR(ISNUMBER(SEARCH("Hach",$B168)),ISNUMBER(SEARCH("Ketamina",$B168))),AND(IFERROR(VLOOKUP($B168,'Base de datos'!$A$3:$K$24,9,FALSE),"")&lt;&gt;"",IFERROR(VLOOKUP($B168,'Base de datos'!$A$3:$K$24,9,FALSE),"")&lt;&gt;0)),"",IFERROR($E168*$C168/IFERROR(VLOOKUP($B168,'Base de datos'!$A$3:$K$24,5,FALSE),0),""))</f>
        <v/>
      </c>
      <c r="O168" s="6" t="str">
        <f>IF(OR(OR(UPPER(IFERROR(VLOOKUP($B168,'Base de datos'!$A$3:$K$24,11,FALSE),""))="NO",ISNUMBER(SEARCH("no sometida",IFERROR(VLOOKUP($B168,'Base de datos'!$A$3:$K$24,10,FALSE),""))),ISNUMBER(SEARCH("no fiscal",IFERROR(VLOOKUP($B168,'Base de datos'!$A$3:$K$24,10,FALSE),"")))),OR(ISNUMBER(SEARCH("Hach",$B168)),ISNUMBER(SEARCH("Ketamina",$B168))),AND(IFERROR(VLOOKUP($B168,'Base de datos'!$A$3:$K$24,9,FALSE),"")&lt;&gt;"",IFERROR(VLOOKUP($B168,'Base de datos'!$A$3:$K$24,9,FALSE),"")&lt;&gt;0)),"",IFERROR((($E168*$C168/IFERROR(VLOOKUP($B168,'Base de datos'!$A$3:$K$24,3,FALSE),0))*1000)/IFERROR(VLOOKUP($B168,'Base de datos'!$A$3:$K$24,2,FALSE),0),""))</f>
        <v/>
      </c>
    </row>
    <row r="169" spans="1:15" x14ac:dyDescent="0.25">
      <c r="A169" s="4"/>
      <c r="B169" s="4"/>
      <c r="C169" s="5" t="str">
        <f>IFERROR(VLOOKUP($B169,'Base de datos'!$A$3:$K$24,3,FALSE),"")</f>
        <v/>
      </c>
      <c r="D169" s="4" t="str">
        <f t="shared" si="5"/>
        <v/>
      </c>
      <c r="E169" s="6"/>
      <c r="F169" s="7" t="str">
        <f>IF($B169="","",IF(OR(UPPER(IFERROR(VLOOKUP($B169,'Base de datos'!$A$3:$K$24,11,FALSE),""))="NO",ISNUMBER(SEARCH("no sometida",IFERROR(VLOOKUP($B169,'Base de datos'!$A$3:$K$24,10,FALSE),""))),ISNUMBER(SEARCH("no fiscal",IFERROR(VLOOKUP($B169,'Base de datos'!$A$3:$K$24,10,FALSE),"")))),"",IF(OR(OR(ISNUMBER(SEARCH("Hach",$B169)),ISNUMBER(SEARCH("Ketamina",$B169))),AND(IFERROR(VLOOKUP($B169,'Base de datos'!$A$3:$K$24,9,FALSE),"")&lt;&gt;"",IFERROR(VLOOKUP($B169,'Base de datos'!$A$3:$K$24,9,FALSE),"")&lt;&gt;0)),"",IFERROR($M169*VLOOKUP($B169,'Base de datos'!$A$3:$K$24,8,FALSE)/1000,""))))</f>
        <v/>
      </c>
      <c r="G169" s="7" t="str">
        <f>IF($B169="","",IF(OR(UPPER(IFERROR(VLOOKUP($B169,'Base de datos'!$A$3:$K$24,11,FALSE),""))="NO",ISNUMBER(SEARCH("no sometida",IFERROR(VLOOKUP($B169,'Base de datos'!$A$3:$K$24,10,FALSE),""))),ISNUMBER(SEARCH("no fiscal",IFERROR(VLOOKUP($B169,'Base de datos'!$A$3:$K$24,10,FALSE),"")))),"",IFERROR(IF(OR(ISNUMBER(SEARCH("Hach",$B169)),ISNUMBER(SEARCH("Ketamina",$B169))),IF(VLOOKUP($B169,'Base de datos'!$A$3:$K$24,6,FALSE)="","",$E169*VLOOKUP($B169,'Base de datos'!$A$3:$K$24,6,FALSE)),IF(AND(IFERROR(VLOOKUP($B169,'Base de datos'!$A$3:$K$24,9,FALSE),"")&lt;&gt;"",IFERROR(VLOOKUP($B169,'Base de datos'!$A$3:$K$24,9,FALSE),"")&lt;&gt;0),"",IF(VLOOKUP($B169,'Base de datos'!$A$3:$K$24,6,FALSE)="","",$N169*VLOOKUP($B169,'Base de datos'!$A$3:$K$24,6,FALSE)))),"")))</f>
        <v/>
      </c>
      <c r="H169" s="7" t="str">
        <f>IF($B169="","",IF(OR(UPPER(IFERROR(VLOOKUP($B169,'Base de datos'!$A$3:$K$24,11,FALSE),""))="NO",ISNUMBER(SEARCH("no sometida",IFERROR(VLOOKUP($B169,'Base de datos'!$A$3:$K$24,10,FALSE),""))),ISNUMBER(SEARCH("no fiscal",IFERROR(VLOOKUP($B169,'Base de datos'!$A$3:$K$24,10,FALSE),"")))),"",IF(OR(ISNUMBER(SEARCH("Hach",$B169)),ISNUMBER(SEARCH("Ketamina",$B169))),"",IF(AND(IFERROR(VLOOKUP($B169,'Base de datos'!$A$3:$K$24,9,FALSE),"")&lt;&gt;"",IFERROR(VLOOKUP($B169,'Base de datos'!$A$3:$K$24,9,FALSE),"")&lt;&gt;0),$E169*IFERROR(VLOOKUP($B169,'Base de datos'!$A$3:$K$24,9,FALSE),""),IFERROR($O169*VLOOKUP($B169,'Base de datos'!$A$3:$K$24,4,FALSE),"")))))</f>
        <v/>
      </c>
      <c r="I169" s="5" t="str">
        <f>IFERROR(VLOOKUP($B169,'Base de datos'!$A$3:$K$24,7,FALSE),"")</f>
        <v/>
      </c>
      <c r="J169" s="13" t="str">
        <f>IFERROR(VLOOKUP($B169,'Base de datos'!$A$3:$K$24,10,FALSE),"")</f>
        <v/>
      </c>
      <c r="K169" s="6"/>
      <c r="L169" s="4"/>
      <c r="M169" s="6" t="str">
        <f>IF(OR(OR(UPPER(IFERROR(VLOOKUP($B169,'Base de datos'!$A$3:$K$24,11,FALSE),""))="NO",ISNUMBER(SEARCH("no sometida",IFERROR(VLOOKUP($B169,'Base de datos'!$A$3:$K$24,10,FALSE),""))),ISNUMBER(SEARCH("no fiscal",IFERROR(VLOOKUP($B169,'Base de datos'!$A$3:$K$24,10,FALSE),"")))),OR(ISNUMBER(SEARCH("Hach",$B169)),ISNUMBER(SEARCH("Ketamina",$B169))),AND(IFERROR(VLOOKUP($B169,'Base de datos'!$A$3:$K$24,9,FALSE),"")&lt;&gt;"",IFERROR(VLOOKUP($B169,'Base de datos'!$A$3:$K$24,9,FALSE),"")&lt;&gt;0)),"",IFERROR($E169*$C169/$I169,""))</f>
        <v/>
      </c>
      <c r="N169" s="6" t="str">
        <f>IF(OR(OR(UPPER(IFERROR(VLOOKUP($B169,'Base de datos'!$A$3:$K$24,11,FALSE),""))="NO",ISNUMBER(SEARCH("no sometida",IFERROR(VLOOKUP($B169,'Base de datos'!$A$3:$K$24,10,FALSE),""))),ISNUMBER(SEARCH("no fiscal",IFERROR(VLOOKUP($B169,'Base de datos'!$A$3:$K$24,10,FALSE),"")))),OR(ISNUMBER(SEARCH("Hach",$B169)),ISNUMBER(SEARCH("Ketamina",$B169))),AND(IFERROR(VLOOKUP($B169,'Base de datos'!$A$3:$K$24,9,FALSE),"")&lt;&gt;"",IFERROR(VLOOKUP($B169,'Base de datos'!$A$3:$K$24,9,FALSE),"")&lt;&gt;0)),"",IFERROR($E169*$C169/IFERROR(VLOOKUP($B169,'Base de datos'!$A$3:$K$24,5,FALSE),0),""))</f>
        <v/>
      </c>
      <c r="O169" s="6" t="str">
        <f>IF(OR(OR(UPPER(IFERROR(VLOOKUP($B169,'Base de datos'!$A$3:$K$24,11,FALSE),""))="NO",ISNUMBER(SEARCH("no sometida",IFERROR(VLOOKUP($B169,'Base de datos'!$A$3:$K$24,10,FALSE),""))),ISNUMBER(SEARCH("no fiscal",IFERROR(VLOOKUP($B169,'Base de datos'!$A$3:$K$24,10,FALSE),"")))),OR(ISNUMBER(SEARCH("Hach",$B169)),ISNUMBER(SEARCH("Ketamina",$B169))),AND(IFERROR(VLOOKUP($B169,'Base de datos'!$A$3:$K$24,9,FALSE),"")&lt;&gt;"",IFERROR(VLOOKUP($B169,'Base de datos'!$A$3:$K$24,9,FALSE),"")&lt;&gt;0)),"",IFERROR((($E169*$C169/IFERROR(VLOOKUP($B169,'Base de datos'!$A$3:$K$24,3,FALSE),0))*1000)/IFERROR(VLOOKUP($B169,'Base de datos'!$A$3:$K$24,2,FALSE),0),""))</f>
        <v/>
      </c>
    </row>
    <row r="170" spans="1:15" x14ac:dyDescent="0.25">
      <c r="A170" s="4"/>
      <c r="B170" s="4"/>
      <c r="C170" s="5" t="str">
        <f>IFERROR(VLOOKUP($B170,'Base de datos'!$A$3:$K$24,3,FALSE),"")</f>
        <v/>
      </c>
      <c r="D170" s="4" t="str">
        <f t="shared" si="5"/>
        <v/>
      </c>
      <c r="E170" s="6"/>
      <c r="F170" s="7" t="str">
        <f>IF($B170="","",IF(OR(UPPER(IFERROR(VLOOKUP($B170,'Base de datos'!$A$3:$K$24,11,FALSE),""))="NO",ISNUMBER(SEARCH("no sometida",IFERROR(VLOOKUP($B170,'Base de datos'!$A$3:$K$24,10,FALSE),""))),ISNUMBER(SEARCH("no fiscal",IFERROR(VLOOKUP($B170,'Base de datos'!$A$3:$K$24,10,FALSE),"")))),"",IF(OR(OR(ISNUMBER(SEARCH("Hach",$B170)),ISNUMBER(SEARCH("Ketamina",$B170))),AND(IFERROR(VLOOKUP($B170,'Base de datos'!$A$3:$K$24,9,FALSE),"")&lt;&gt;"",IFERROR(VLOOKUP($B170,'Base de datos'!$A$3:$K$24,9,FALSE),"")&lt;&gt;0)),"",IFERROR($M170*VLOOKUP($B170,'Base de datos'!$A$3:$K$24,8,FALSE)/1000,""))))</f>
        <v/>
      </c>
      <c r="G170" s="7" t="str">
        <f>IF($B170="","",IF(OR(UPPER(IFERROR(VLOOKUP($B170,'Base de datos'!$A$3:$K$24,11,FALSE),""))="NO",ISNUMBER(SEARCH("no sometida",IFERROR(VLOOKUP($B170,'Base de datos'!$A$3:$K$24,10,FALSE),""))),ISNUMBER(SEARCH("no fiscal",IFERROR(VLOOKUP($B170,'Base de datos'!$A$3:$K$24,10,FALSE),"")))),"",IFERROR(IF(OR(ISNUMBER(SEARCH("Hach",$B170)),ISNUMBER(SEARCH("Ketamina",$B170))),IF(VLOOKUP($B170,'Base de datos'!$A$3:$K$24,6,FALSE)="","",$E170*VLOOKUP($B170,'Base de datos'!$A$3:$K$24,6,FALSE)),IF(AND(IFERROR(VLOOKUP($B170,'Base de datos'!$A$3:$K$24,9,FALSE),"")&lt;&gt;"",IFERROR(VLOOKUP($B170,'Base de datos'!$A$3:$K$24,9,FALSE),"")&lt;&gt;0),"",IF(VLOOKUP($B170,'Base de datos'!$A$3:$K$24,6,FALSE)="","",$N170*VLOOKUP($B170,'Base de datos'!$A$3:$K$24,6,FALSE)))),"")))</f>
        <v/>
      </c>
      <c r="H170" s="7" t="str">
        <f>IF($B170="","",IF(OR(UPPER(IFERROR(VLOOKUP($B170,'Base de datos'!$A$3:$K$24,11,FALSE),""))="NO",ISNUMBER(SEARCH("no sometida",IFERROR(VLOOKUP($B170,'Base de datos'!$A$3:$K$24,10,FALSE),""))),ISNUMBER(SEARCH("no fiscal",IFERROR(VLOOKUP($B170,'Base de datos'!$A$3:$K$24,10,FALSE),"")))),"",IF(OR(ISNUMBER(SEARCH("Hach",$B170)),ISNUMBER(SEARCH("Ketamina",$B170))),"",IF(AND(IFERROR(VLOOKUP($B170,'Base de datos'!$A$3:$K$24,9,FALSE),"")&lt;&gt;"",IFERROR(VLOOKUP($B170,'Base de datos'!$A$3:$K$24,9,FALSE),"")&lt;&gt;0),$E170*IFERROR(VLOOKUP($B170,'Base de datos'!$A$3:$K$24,9,FALSE),""),IFERROR($O170*VLOOKUP($B170,'Base de datos'!$A$3:$K$24,4,FALSE),"")))))</f>
        <v/>
      </c>
      <c r="I170" s="5" t="str">
        <f>IFERROR(VLOOKUP($B170,'Base de datos'!$A$3:$K$24,7,FALSE),"")</f>
        <v/>
      </c>
      <c r="J170" s="13" t="str">
        <f>IFERROR(VLOOKUP($B170,'Base de datos'!$A$3:$K$24,10,FALSE),"")</f>
        <v/>
      </c>
      <c r="K170" s="6"/>
      <c r="L170" s="4"/>
      <c r="M170" s="6" t="str">
        <f>IF(OR(OR(UPPER(IFERROR(VLOOKUP($B170,'Base de datos'!$A$3:$K$24,11,FALSE),""))="NO",ISNUMBER(SEARCH("no sometida",IFERROR(VLOOKUP($B170,'Base de datos'!$A$3:$K$24,10,FALSE),""))),ISNUMBER(SEARCH("no fiscal",IFERROR(VLOOKUP($B170,'Base de datos'!$A$3:$K$24,10,FALSE),"")))),OR(ISNUMBER(SEARCH("Hach",$B170)),ISNUMBER(SEARCH("Ketamina",$B170))),AND(IFERROR(VLOOKUP($B170,'Base de datos'!$A$3:$K$24,9,FALSE),"")&lt;&gt;"",IFERROR(VLOOKUP($B170,'Base de datos'!$A$3:$K$24,9,FALSE),"")&lt;&gt;0)),"",IFERROR($E170*$C170/$I170,""))</f>
        <v/>
      </c>
      <c r="N170" s="6" t="str">
        <f>IF(OR(OR(UPPER(IFERROR(VLOOKUP($B170,'Base de datos'!$A$3:$K$24,11,FALSE),""))="NO",ISNUMBER(SEARCH("no sometida",IFERROR(VLOOKUP($B170,'Base de datos'!$A$3:$K$24,10,FALSE),""))),ISNUMBER(SEARCH("no fiscal",IFERROR(VLOOKUP($B170,'Base de datos'!$A$3:$K$24,10,FALSE),"")))),OR(ISNUMBER(SEARCH("Hach",$B170)),ISNUMBER(SEARCH("Ketamina",$B170))),AND(IFERROR(VLOOKUP($B170,'Base de datos'!$A$3:$K$24,9,FALSE),"")&lt;&gt;"",IFERROR(VLOOKUP($B170,'Base de datos'!$A$3:$K$24,9,FALSE),"")&lt;&gt;0)),"",IFERROR($E170*$C170/IFERROR(VLOOKUP($B170,'Base de datos'!$A$3:$K$24,5,FALSE),0),""))</f>
        <v/>
      </c>
      <c r="O170" s="6" t="str">
        <f>IF(OR(OR(UPPER(IFERROR(VLOOKUP($B170,'Base de datos'!$A$3:$K$24,11,FALSE),""))="NO",ISNUMBER(SEARCH("no sometida",IFERROR(VLOOKUP($B170,'Base de datos'!$A$3:$K$24,10,FALSE),""))),ISNUMBER(SEARCH("no fiscal",IFERROR(VLOOKUP($B170,'Base de datos'!$A$3:$K$24,10,FALSE),"")))),OR(ISNUMBER(SEARCH("Hach",$B170)),ISNUMBER(SEARCH("Ketamina",$B170))),AND(IFERROR(VLOOKUP($B170,'Base de datos'!$A$3:$K$24,9,FALSE),"")&lt;&gt;"",IFERROR(VLOOKUP($B170,'Base de datos'!$A$3:$K$24,9,FALSE),"")&lt;&gt;0)),"",IFERROR((($E170*$C170/IFERROR(VLOOKUP($B170,'Base de datos'!$A$3:$K$24,3,FALSE),0))*1000)/IFERROR(VLOOKUP($B170,'Base de datos'!$A$3:$K$24,2,FALSE),0),""))</f>
        <v/>
      </c>
    </row>
    <row r="171" spans="1:15" x14ac:dyDescent="0.25">
      <c r="A171" s="4"/>
      <c r="B171" s="4"/>
      <c r="C171" s="5" t="str">
        <f>IFERROR(VLOOKUP($B171,'Base de datos'!$A$3:$K$24,3,FALSE),"")</f>
        <v/>
      </c>
      <c r="D171" s="4" t="str">
        <f t="shared" si="5"/>
        <v/>
      </c>
      <c r="E171" s="6"/>
      <c r="F171" s="7" t="str">
        <f>IF($B171="","",IF(OR(UPPER(IFERROR(VLOOKUP($B171,'Base de datos'!$A$3:$K$24,11,FALSE),""))="NO",ISNUMBER(SEARCH("no sometida",IFERROR(VLOOKUP($B171,'Base de datos'!$A$3:$K$24,10,FALSE),""))),ISNUMBER(SEARCH("no fiscal",IFERROR(VLOOKUP($B171,'Base de datos'!$A$3:$K$24,10,FALSE),"")))),"",IF(OR(OR(ISNUMBER(SEARCH("Hach",$B171)),ISNUMBER(SEARCH("Ketamina",$B171))),AND(IFERROR(VLOOKUP($B171,'Base de datos'!$A$3:$K$24,9,FALSE),"")&lt;&gt;"",IFERROR(VLOOKUP($B171,'Base de datos'!$A$3:$K$24,9,FALSE),"")&lt;&gt;0)),"",IFERROR($M171*VLOOKUP($B171,'Base de datos'!$A$3:$K$24,8,FALSE)/1000,""))))</f>
        <v/>
      </c>
      <c r="G171" s="7" t="str">
        <f>IF($B171="","",IF(OR(UPPER(IFERROR(VLOOKUP($B171,'Base de datos'!$A$3:$K$24,11,FALSE),""))="NO",ISNUMBER(SEARCH("no sometida",IFERROR(VLOOKUP($B171,'Base de datos'!$A$3:$K$24,10,FALSE),""))),ISNUMBER(SEARCH("no fiscal",IFERROR(VLOOKUP($B171,'Base de datos'!$A$3:$K$24,10,FALSE),"")))),"",IFERROR(IF(OR(ISNUMBER(SEARCH("Hach",$B171)),ISNUMBER(SEARCH("Ketamina",$B171))),IF(VLOOKUP($B171,'Base de datos'!$A$3:$K$24,6,FALSE)="","",$E171*VLOOKUP($B171,'Base de datos'!$A$3:$K$24,6,FALSE)),IF(AND(IFERROR(VLOOKUP($B171,'Base de datos'!$A$3:$K$24,9,FALSE),"")&lt;&gt;"",IFERROR(VLOOKUP($B171,'Base de datos'!$A$3:$K$24,9,FALSE),"")&lt;&gt;0),"",IF(VLOOKUP($B171,'Base de datos'!$A$3:$K$24,6,FALSE)="","",$N171*VLOOKUP($B171,'Base de datos'!$A$3:$K$24,6,FALSE)))),"")))</f>
        <v/>
      </c>
      <c r="H171" s="7" t="str">
        <f>IF($B171="","",IF(OR(UPPER(IFERROR(VLOOKUP($B171,'Base de datos'!$A$3:$K$24,11,FALSE),""))="NO",ISNUMBER(SEARCH("no sometida",IFERROR(VLOOKUP($B171,'Base de datos'!$A$3:$K$24,10,FALSE),""))),ISNUMBER(SEARCH("no fiscal",IFERROR(VLOOKUP($B171,'Base de datos'!$A$3:$K$24,10,FALSE),"")))),"",IF(OR(ISNUMBER(SEARCH("Hach",$B171)),ISNUMBER(SEARCH("Ketamina",$B171))),"",IF(AND(IFERROR(VLOOKUP($B171,'Base de datos'!$A$3:$K$24,9,FALSE),"")&lt;&gt;"",IFERROR(VLOOKUP($B171,'Base de datos'!$A$3:$K$24,9,FALSE),"")&lt;&gt;0),$E171*IFERROR(VLOOKUP($B171,'Base de datos'!$A$3:$K$24,9,FALSE),""),IFERROR($O171*VLOOKUP($B171,'Base de datos'!$A$3:$K$24,4,FALSE),"")))))</f>
        <v/>
      </c>
      <c r="I171" s="5" t="str">
        <f>IFERROR(VLOOKUP($B171,'Base de datos'!$A$3:$K$24,7,FALSE),"")</f>
        <v/>
      </c>
      <c r="J171" s="13" t="str">
        <f>IFERROR(VLOOKUP($B171,'Base de datos'!$A$3:$K$24,10,FALSE),"")</f>
        <v/>
      </c>
      <c r="K171" s="6"/>
      <c r="L171" s="4"/>
      <c r="M171" s="6" t="str">
        <f>IF(OR(OR(UPPER(IFERROR(VLOOKUP($B171,'Base de datos'!$A$3:$K$24,11,FALSE),""))="NO",ISNUMBER(SEARCH("no sometida",IFERROR(VLOOKUP($B171,'Base de datos'!$A$3:$K$24,10,FALSE),""))),ISNUMBER(SEARCH("no fiscal",IFERROR(VLOOKUP($B171,'Base de datos'!$A$3:$K$24,10,FALSE),"")))),OR(ISNUMBER(SEARCH("Hach",$B171)),ISNUMBER(SEARCH("Ketamina",$B171))),AND(IFERROR(VLOOKUP($B171,'Base de datos'!$A$3:$K$24,9,FALSE),"")&lt;&gt;"",IFERROR(VLOOKUP($B171,'Base de datos'!$A$3:$K$24,9,FALSE),"")&lt;&gt;0)),"",IFERROR($E171*$C171/$I171,""))</f>
        <v/>
      </c>
      <c r="N171" s="6" t="str">
        <f>IF(OR(OR(UPPER(IFERROR(VLOOKUP($B171,'Base de datos'!$A$3:$K$24,11,FALSE),""))="NO",ISNUMBER(SEARCH("no sometida",IFERROR(VLOOKUP($B171,'Base de datos'!$A$3:$K$24,10,FALSE),""))),ISNUMBER(SEARCH("no fiscal",IFERROR(VLOOKUP($B171,'Base de datos'!$A$3:$K$24,10,FALSE),"")))),OR(ISNUMBER(SEARCH("Hach",$B171)),ISNUMBER(SEARCH("Ketamina",$B171))),AND(IFERROR(VLOOKUP($B171,'Base de datos'!$A$3:$K$24,9,FALSE),"")&lt;&gt;"",IFERROR(VLOOKUP($B171,'Base de datos'!$A$3:$K$24,9,FALSE),"")&lt;&gt;0)),"",IFERROR($E171*$C171/IFERROR(VLOOKUP($B171,'Base de datos'!$A$3:$K$24,5,FALSE),0),""))</f>
        <v/>
      </c>
      <c r="O171" s="6" t="str">
        <f>IF(OR(OR(UPPER(IFERROR(VLOOKUP($B171,'Base de datos'!$A$3:$K$24,11,FALSE),""))="NO",ISNUMBER(SEARCH("no sometida",IFERROR(VLOOKUP($B171,'Base de datos'!$A$3:$K$24,10,FALSE),""))),ISNUMBER(SEARCH("no fiscal",IFERROR(VLOOKUP($B171,'Base de datos'!$A$3:$K$24,10,FALSE),"")))),OR(ISNUMBER(SEARCH("Hach",$B171)),ISNUMBER(SEARCH("Ketamina",$B171))),AND(IFERROR(VLOOKUP($B171,'Base de datos'!$A$3:$K$24,9,FALSE),"")&lt;&gt;"",IFERROR(VLOOKUP($B171,'Base de datos'!$A$3:$K$24,9,FALSE),"")&lt;&gt;0)),"",IFERROR((($E171*$C171/IFERROR(VLOOKUP($B171,'Base de datos'!$A$3:$K$24,3,FALSE),0))*1000)/IFERROR(VLOOKUP($B171,'Base de datos'!$A$3:$K$24,2,FALSE),0),""))</f>
        <v/>
      </c>
    </row>
    <row r="172" spans="1:15" x14ac:dyDescent="0.25">
      <c r="A172" s="4"/>
      <c r="B172" s="4"/>
      <c r="C172" s="5" t="str">
        <f>IFERROR(VLOOKUP($B172,'Base de datos'!$A$3:$K$24,3,FALSE),"")</f>
        <v/>
      </c>
      <c r="D172" s="4" t="str">
        <f t="shared" si="5"/>
        <v/>
      </c>
      <c r="E172" s="6"/>
      <c r="F172" s="7" t="str">
        <f>IF($B172="","",IF(OR(UPPER(IFERROR(VLOOKUP($B172,'Base de datos'!$A$3:$K$24,11,FALSE),""))="NO",ISNUMBER(SEARCH("no sometida",IFERROR(VLOOKUP($B172,'Base de datos'!$A$3:$K$24,10,FALSE),""))),ISNUMBER(SEARCH("no fiscal",IFERROR(VLOOKUP($B172,'Base de datos'!$A$3:$K$24,10,FALSE),"")))),"",IF(OR(OR(ISNUMBER(SEARCH("Hach",$B172)),ISNUMBER(SEARCH("Ketamina",$B172))),AND(IFERROR(VLOOKUP($B172,'Base de datos'!$A$3:$K$24,9,FALSE),"")&lt;&gt;"",IFERROR(VLOOKUP($B172,'Base de datos'!$A$3:$K$24,9,FALSE),"")&lt;&gt;0)),"",IFERROR($M172*VLOOKUP($B172,'Base de datos'!$A$3:$K$24,8,FALSE)/1000,""))))</f>
        <v/>
      </c>
      <c r="G172" s="7" t="str">
        <f>IF($B172="","",IF(OR(UPPER(IFERROR(VLOOKUP($B172,'Base de datos'!$A$3:$K$24,11,FALSE),""))="NO",ISNUMBER(SEARCH("no sometida",IFERROR(VLOOKUP($B172,'Base de datos'!$A$3:$K$24,10,FALSE),""))),ISNUMBER(SEARCH("no fiscal",IFERROR(VLOOKUP($B172,'Base de datos'!$A$3:$K$24,10,FALSE),"")))),"",IFERROR(IF(OR(ISNUMBER(SEARCH("Hach",$B172)),ISNUMBER(SEARCH("Ketamina",$B172))),IF(VLOOKUP($B172,'Base de datos'!$A$3:$K$24,6,FALSE)="","",$E172*VLOOKUP($B172,'Base de datos'!$A$3:$K$24,6,FALSE)),IF(AND(IFERROR(VLOOKUP($B172,'Base de datos'!$A$3:$K$24,9,FALSE),"")&lt;&gt;"",IFERROR(VLOOKUP($B172,'Base de datos'!$A$3:$K$24,9,FALSE),"")&lt;&gt;0),"",IF(VLOOKUP($B172,'Base de datos'!$A$3:$K$24,6,FALSE)="","",$N172*VLOOKUP($B172,'Base de datos'!$A$3:$K$24,6,FALSE)))),"")))</f>
        <v/>
      </c>
      <c r="H172" s="7" t="str">
        <f>IF($B172="","",IF(OR(UPPER(IFERROR(VLOOKUP($B172,'Base de datos'!$A$3:$K$24,11,FALSE),""))="NO",ISNUMBER(SEARCH("no sometida",IFERROR(VLOOKUP($B172,'Base de datos'!$A$3:$K$24,10,FALSE),""))),ISNUMBER(SEARCH("no fiscal",IFERROR(VLOOKUP($B172,'Base de datos'!$A$3:$K$24,10,FALSE),"")))),"",IF(OR(ISNUMBER(SEARCH("Hach",$B172)),ISNUMBER(SEARCH("Ketamina",$B172))),"",IF(AND(IFERROR(VLOOKUP($B172,'Base de datos'!$A$3:$K$24,9,FALSE),"")&lt;&gt;"",IFERROR(VLOOKUP($B172,'Base de datos'!$A$3:$K$24,9,FALSE),"")&lt;&gt;0),$E172*IFERROR(VLOOKUP($B172,'Base de datos'!$A$3:$K$24,9,FALSE),""),IFERROR($O172*VLOOKUP($B172,'Base de datos'!$A$3:$K$24,4,FALSE),"")))))</f>
        <v/>
      </c>
      <c r="I172" s="5" t="str">
        <f>IFERROR(VLOOKUP($B172,'Base de datos'!$A$3:$K$24,7,FALSE),"")</f>
        <v/>
      </c>
      <c r="J172" s="13" t="str">
        <f>IFERROR(VLOOKUP($B172,'Base de datos'!$A$3:$K$24,10,FALSE),"")</f>
        <v/>
      </c>
      <c r="K172" s="6"/>
      <c r="L172" s="4"/>
      <c r="M172" s="6" t="str">
        <f>IF(OR(OR(UPPER(IFERROR(VLOOKUP($B172,'Base de datos'!$A$3:$K$24,11,FALSE),""))="NO",ISNUMBER(SEARCH("no sometida",IFERROR(VLOOKUP($B172,'Base de datos'!$A$3:$K$24,10,FALSE),""))),ISNUMBER(SEARCH("no fiscal",IFERROR(VLOOKUP($B172,'Base de datos'!$A$3:$K$24,10,FALSE),"")))),OR(ISNUMBER(SEARCH("Hach",$B172)),ISNUMBER(SEARCH("Ketamina",$B172))),AND(IFERROR(VLOOKUP($B172,'Base de datos'!$A$3:$K$24,9,FALSE),"")&lt;&gt;"",IFERROR(VLOOKUP($B172,'Base de datos'!$A$3:$K$24,9,FALSE),"")&lt;&gt;0)),"",IFERROR($E172*$C172/$I172,""))</f>
        <v/>
      </c>
      <c r="N172" s="6" t="str">
        <f>IF(OR(OR(UPPER(IFERROR(VLOOKUP($B172,'Base de datos'!$A$3:$K$24,11,FALSE),""))="NO",ISNUMBER(SEARCH("no sometida",IFERROR(VLOOKUP($B172,'Base de datos'!$A$3:$K$24,10,FALSE),""))),ISNUMBER(SEARCH("no fiscal",IFERROR(VLOOKUP($B172,'Base de datos'!$A$3:$K$24,10,FALSE),"")))),OR(ISNUMBER(SEARCH("Hach",$B172)),ISNUMBER(SEARCH("Ketamina",$B172))),AND(IFERROR(VLOOKUP($B172,'Base de datos'!$A$3:$K$24,9,FALSE),"")&lt;&gt;"",IFERROR(VLOOKUP($B172,'Base de datos'!$A$3:$K$24,9,FALSE),"")&lt;&gt;0)),"",IFERROR($E172*$C172/IFERROR(VLOOKUP($B172,'Base de datos'!$A$3:$K$24,5,FALSE),0),""))</f>
        <v/>
      </c>
      <c r="O172" s="6" t="str">
        <f>IF(OR(OR(UPPER(IFERROR(VLOOKUP($B172,'Base de datos'!$A$3:$K$24,11,FALSE),""))="NO",ISNUMBER(SEARCH("no sometida",IFERROR(VLOOKUP($B172,'Base de datos'!$A$3:$K$24,10,FALSE),""))),ISNUMBER(SEARCH("no fiscal",IFERROR(VLOOKUP($B172,'Base de datos'!$A$3:$K$24,10,FALSE),"")))),OR(ISNUMBER(SEARCH("Hach",$B172)),ISNUMBER(SEARCH("Ketamina",$B172))),AND(IFERROR(VLOOKUP($B172,'Base de datos'!$A$3:$K$24,9,FALSE),"")&lt;&gt;"",IFERROR(VLOOKUP($B172,'Base de datos'!$A$3:$K$24,9,FALSE),"")&lt;&gt;0)),"",IFERROR((($E172*$C172/IFERROR(VLOOKUP($B172,'Base de datos'!$A$3:$K$24,3,FALSE),0))*1000)/IFERROR(VLOOKUP($B172,'Base de datos'!$A$3:$K$24,2,FALSE),0),""))</f>
        <v/>
      </c>
    </row>
    <row r="173" spans="1:15" x14ac:dyDescent="0.25">
      <c r="A173" s="4"/>
      <c r="B173" s="4"/>
      <c r="C173" s="5" t="str">
        <f>IFERROR(VLOOKUP($B173,'Base de datos'!$A$3:$K$24,3,FALSE),"")</f>
        <v/>
      </c>
      <c r="D173" s="4" t="str">
        <f t="shared" si="5"/>
        <v/>
      </c>
      <c r="E173" s="6"/>
      <c r="F173" s="7" t="str">
        <f>IF($B173="","",IF(OR(UPPER(IFERROR(VLOOKUP($B173,'Base de datos'!$A$3:$K$24,11,FALSE),""))="NO",ISNUMBER(SEARCH("no sometida",IFERROR(VLOOKUP($B173,'Base de datos'!$A$3:$K$24,10,FALSE),""))),ISNUMBER(SEARCH("no fiscal",IFERROR(VLOOKUP($B173,'Base de datos'!$A$3:$K$24,10,FALSE),"")))),"",IF(OR(OR(ISNUMBER(SEARCH("Hach",$B173)),ISNUMBER(SEARCH("Ketamina",$B173))),AND(IFERROR(VLOOKUP($B173,'Base de datos'!$A$3:$K$24,9,FALSE),"")&lt;&gt;"",IFERROR(VLOOKUP($B173,'Base de datos'!$A$3:$K$24,9,FALSE),"")&lt;&gt;0)),"",IFERROR($M173*VLOOKUP($B173,'Base de datos'!$A$3:$K$24,8,FALSE)/1000,""))))</f>
        <v/>
      </c>
      <c r="G173" s="7" t="str">
        <f>IF($B173="","",IF(OR(UPPER(IFERROR(VLOOKUP($B173,'Base de datos'!$A$3:$K$24,11,FALSE),""))="NO",ISNUMBER(SEARCH("no sometida",IFERROR(VLOOKUP($B173,'Base de datos'!$A$3:$K$24,10,FALSE),""))),ISNUMBER(SEARCH("no fiscal",IFERROR(VLOOKUP($B173,'Base de datos'!$A$3:$K$24,10,FALSE),"")))),"",IFERROR(IF(OR(ISNUMBER(SEARCH("Hach",$B173)),ISNUMBER(SEARCH("Ketamina",$B173))),IF(VLOOKUP($B173,'Base de datos'!$A$3:$K$24,6,FALSE)="","",$E173*VLOOKUP($B173,'Base de datos'!$A$3:$K$24,6,FALSE)),IF(AND(IFERROR(VLOOKUP($B173,'Base de datos'!$A$3:$K$24,9,FALSE),"")&lt;&gt;"",IFERROR(VLOOKUP($B173,'Base de datos'!$A$3:$K$24,9,FALSE),"")&lt;&gt;0),"",IF(VLOOKUP($B173,'Base de datos'!$A$3:$K$24,6,FALSE)="","",$N173*VLOOKUP($B173,'Base de datos'!$A$3:$K$24,6,FALSE)))),"")))</f>
        <v/>
      </c>
      <c r="H173" s="7" t="str">
        <f>IF($B173="","",IF(OR(UPPER(IFERROR(VLOOKUP($B173,'Base de datos'!$A$3:$K$24,11,FALSE),""))="NO",ISNUMBER(SEARCH("no sometida",IFERROR(VLOOKUP($B173,'Base de datos'!$A$3:$K$24,10,FALSE),""))),ISNUMBER(SEARCH("no fiscal",IFERROR(VLOOKUP($B173,'Base de datos'!$A$3:$K$24,10,FALSE),"")))),"",IF(OR(ISNUMBER(SEARCH("Hach",$B173)),ISNUMBER(SEARCH("Ketamina",$B173))),"",IF(AND(IFERROR(VLOOKUP($B173,'Base de datos'!$A$3:$K$24,9,FALSE),"")&lt;&gt;"",IFERROR(VLOOKUP($B173,'Base de datos'!$A$3:$K$24,9,FALSE),"")&lt;&gt;0),$E173*IFERROR(VLOOKUP($B173,'Base de datos'!$A$3:$K$24,9,FALSE),""),IFERROR($O173*VLOOKUP($B173,'Base de datos'!$A$3:$K$24,4,FALSE),"")))))</f>
        <v/>
      </c>
      <c r="I173" s="5" t="str">
        <f>IFERROR(VLOOKUP($B173,'Base de datos'!$A$3:$K$24,7,FALSE),"")</f>
        <v/>
      </c>
      <c r="J173" s="13" t="str">
        <f>IFERROR(VLOOKUP($B173,'Base de datos'!$A$3:$K$24,10,FALSE),"")</f>
        <v/>
      </c>
      <c r="K173" s="6"/>
      <c r="L173" s="4"/>
      <c r="M173" s="6" t="str">
        <f>IF(OR(OR(UPPER(IFERROR(VLOOKUP($B173,'Base de datos'!$A$3:$K$24,11,FALSE),""))="NO",ISNUMBER(SEARCH("no sometida",IFERROR(VLOOKUP($B173,'Base de datos'!$A$3:$K$24,10,FALSE),""))),ISNUMBER(SEARCH("no fiscal",IFERROR(VLOOKUP($B173,'Base de datos'!$A$3:$K$24,10,FALSE),"")))),OR(ISNUMBER(SEARCH("Hach",$B173)),ISNUMBER(SEARCH("Ketamina",$B173))),AND(IFERROR(VLOOKUP($B173,'Base de datos'!$A$3:$K$24,9,FALSE),"")&lt;&gt;"",IFERROR(VLOOKUP($B173,'Base de datos'!$A$3:$K$24,9,FALSE),"")&lt;&gt;0)),"",IFERROR($E173*$C173/$I173,""))</f>
        <v/>
      </c>
      <c r="N173" s="6" t="str">
        <f>IF(OR(OR(UPPER(IFERROR(VLOOKUP($B173,'Base de datos'!$A$3:$K$24,11,FALSE),""))="NO",ISNUMBER(SEARCH("no sometida",IFERROR(VLOOKUP($B173,'Base de datos'!$A$3:$K$24,10,FALSE),""))),ISNUMBER(SEARCH("no fiscal",IFERROR(VLOOKUP($B173,'Base de datos'!$A$3:$K$24,10,FALSE),"")))),OR(ISNUMBER(SEARCH("Hach",$B173)),ISNUMBER(SEARCH("Ketamina",$B173))),AND(IFERROR(VLOOKUP($B173,'Base de datos'!$A$3:$K$24,9,FALSE),"")&lt;&gt;"",IFERROR(VLOOKUP($B173,'Base de datos'!$A$3:$K$24,9,FALSE),"")&lt;&gt;0)),"",IFERROR($E173*$C173/IFERROR(VLOOKUP($B173,'Base de datos'!$A$3:$K$24,5,FALSE),0),""))</f>
        <v/>
      </c>
      <c r="O173" s="6" t="str">
        <f>IF(OR(OR(UPPER(IFERROR(VLOOKUP($B173,'Base de datos'!$A$3:$K$24,11,FALSE),""))="NO",ISNUMBER(SEARCH("no sometida",IFERROR(VLOOKUP($B173,'Base de datos'!$A$3:$K$24,10,FALSE),""))),ISNUMBER(SEARCH("no fiscal",IFERROR(VLOOKUP($B173,'Base de datos'!$A$3:$K$24,10,FALSE),"")))),OR(ISNUMBER(SEARCH("Hach",$B173)),ISNUMBER(SEARCH("Ketamina",$B173))),AND(IFERROR(VLOOKUP($B173,'Base de datos'!$A$3:$K$24,9,FALSE),"")&lt;&gt;"",IFERROR(VLOOKUP($B173,'Base de datos'!$A$3:$K$24,9,FALSE),"")&lt;&gt;0)),"",IFERROR((($E173*$C173/IFERROR(VLOOKUP($B173,'Base de datos'!$A$3:$K$24,3,FALSE),0))*1000)/IFERROR(VLOOKUP($B173,'Base de datos'!$A$3:$K$24,2,FALSE),0),""))</f>
        <v/>
      </c>
    </row>
    <row r="174" spans="1:15" x14ac:dyDescent="0.25">
      <c r="A174" s="4"/>
      <c r="B174" s="4"/>
      <c r="C174" s="5" t="str">
        <f>IFERROR(VLOOKUP($B174,'Base de datos'!$A$3:$K$24,3,FALSE),"")</f>
        <v/>
      </c>
      <c r="D174" s="4" t="str">
        <f t="shared" si="5"/>
        <v/>
      </c>
      <c r="E174" s="6"/>
      <c r="F174" s="7" t="str">
        <f>IF($B174="","",IF(OR(UPPER(IFERROR(VLOOKUP($B174,'Base de datos'!$A$3:$K$24,11,FALSE),""))="NO",ISNUMBER(SEARCH("no sometida",IFERROR(VLOOKUP($B174,'Base de datos'!$A$3:$K$24,10,FALSE),""))),ISNUMBER(SEARCH("no fiscal",IFERROR(VLOOKUP($B174,'Base de datos'!$A$3:$K$24,10,FALSE),"")))),"",IF(OR(OR(ISNUMBER(SEARCH("Hach",$B174)),ISNUMBER(SEARCH("Ketamina",$B174))),AND(IFERROR(VLOOKUP($B174,'Base de datos'!$A$3:$K$24,9,FALSE),"")&lt;&gt;"",IFERROR(VLOOKUP($B174,'Base de datos'!$A$3:$K$24,9,FALSE),"")&lt;&gt;0)),"",IFERROR($M174*VLOOKUP($B174,'Base de datos'!$A$3:$K$24,8,FALSE)/1000,""))))</f>
        <v/>
      </c>
      <c r="G174" s="7" t="str">
        <f>IF($B174="","",IF(OR(UPPER(IFERROR(VLOOKUP($B174,'Base de datos'!$A$3:$K$24,11,FALSE),""))="NO",ISNUMBER(SEARCH("no sometida",IFERROR(VLOOKUP($B174,'Base de datos'!$A$3:$K$24,10,FALSE),""))),ISNUMBER(SEARCH("no fiscal",IFERROR(VLOOKUP($B174,'Base de datos'!$A$3:$K$24,10,FALSE),"")))),"",IFERROR(IF(OR(ISNUMBER(SEARCH("Hach",$B174)),ISNUMBER(SEARCH("Ketamina",$B174))),IF(VLOOKUP($B174,'Base de datos'!$A$3:$K$24,6,FALSE)="","",$E174*VLOOKUP($B174,'Base de datos'!$A$3:$K$24,6,FALSE)),IF(AND(IFERROR(VLOOKUP($B174,'Base de datos'!$A$3:$K$24,9,FALSE),"")&lt;&gt;"",IFERROR(VLOOKUP($B174,'Base de datos'!$A$3:$K$24,9,FALSE),"")&lt;&gt;0),"",IF(VLOOKUP($B174,'Base de datos'!$A$3:$K$24,6,FALSE)="","",$N174*VLOOKUP($B174,'Base de datos'!$A$3:$K$24,6,FALSE)))),"")))</f>
        <v/>
      </c>
      <c r="H174" s="7" t="str">
        <f>IF($B174="","",IF(OR(UPPER(IFERROR(VLOOKUP($B174,'Base de datos'!$A$3:$K$24,11,FALSE),""))="NO",ISNUMBER(SEARCH("no sometida",IFERROR(VLOOKUP($B174,'Base de datos'!$A$3:$K$24,10,FALSE),""))),ISNUMBER(SEARCH("no fiscal",IFERROR(VLOOKUP($B174,'Base de datos'!$A$3:$K$24,10,FALSE),"")))),"",IF(OR(ISNUMBER(SEARCH("Hach",$B174)),ISNUMBER(SEARCH("Ketamina",$B174))),"",IF(AND(IFERROR(VLOOKUP($B174,'Base de datos'!$A$3:$K$24,9,FALSE),"")&lt;&gt;"",IFERROR(VLOOKUP($B174,'Base de datos'!$A$3:$K$24,9,FALSE),"")&lt;&gt;0),$E174*IFERROR(VLOOKUP($B174,'Base de datos'!$A$3:$K$24,9,FALSE),""),IFERROR($O174*VLOOKUP($B174,'Base de datos'!$A$3:$K$24,4,FALSE),"")))))</f>
        <v/>
      </c>
      <c r="I174" s="5" t="str">
        <f>IFERROR(VLOOKUP($B174,'Base de datos'!$A$3:$K$24,7,FALSE),"")</f>
        <v/>
      </c>
      <c r="J174" s="13" t="str">
        <f>IFERROR(VLOOKUP($B174,'Base de datos'!$A$3:$K$24,10,FALSE),"")</f>
        <v/>
      </c>
      <c r="K174" s="6"/>
      <c r="L174" s="4"/>
      <c r="M174" s="6" t="str">
        <f>IF(OR(OR(UPPER(IFERROR(VLOOKUP($B174,'Base de datos'!$A$3:$K$24,11,FALSE),""))="NO",ISNUMBER(SEARCH("no sometida",IFERROR(VLOOKUP($B174,'Base de datos'!$A$3:$K$24,10,FALSE),""))),ISNUMBER(SEARCH("no fiscal",IFERROR(VLOOKUP($B174,'Base de datos'!$A$3:$K$24,10,FALSE),"")))),OR(ISNUMBER(SEARCH("Hach",$B174)),ISNUMBER(SEARCH("Ketamina",$B174))),AND(IFERROR(VLOOKUP($B174,'Base de datos'!$A$3:$K$24,9,FALSE),"")&lt;&gt;"",IFERROR(VLOOKUP($B174,'Base de datos'!$A$3:$K$24,9,FALSE),"")&lt;&gt;0)),"",IFERROR($E174*$C174/$I174,""))</f>
        <v/>
      </c>
      <c r="N174" s="6" t="str">
        <f>IF(OR(OR(UPPER(IFERROR(VLOOKUP($B174,'Base de datos'!$A$3:$K$24,11,FALSE),""))="NO",ISNUMBER(SEARCH("no sometida",IFERROR(VLOOKUP($B174,'Base de datos'!$A$3:$K$24,10,FALSE),""))),ISNUMBER(SEARCH("no fiscal",IFERROR(VLOOKUP($B174,'Base de datos'!$A$3:$K$24,10,FALSE),"")))),OR(ISNUMBER(SEARCH("Hach",$B174)),ISNUMBER(SEARCH("Ketamina",$B174))),AND(IFERROR(VLOOKUP($B174,'Base de datos'!$A$3:$K$24,9,FALSE),"")&lt;&gt;"",IFERROR(VLOOKUP($B174,'Base de datos'!$A$3:$K$24,9,FALSE),"")&lt;&gt;0)),"",IFERROR($E174*$C174/IFERROR(VLOOKUP($B174,'Base de datos'!$A$3:$K$24,5,FALSE),0),""))</f>
        <v/>
      </c>
      <c r="O174" s="6" t="str">
        <f>IF(OR(OR(UPPER(IFERROR(VLOOKUP($B174,'Base de datos'!$A$3:$K$24,11,FALSE),""))="NO",ISNUMBER(SEARCH("no sometida",IFERROR(VLOOKUP($B174,'Base de datos'!$A$3:$K$24,10,FALSE),""))),ISNUMBER(SEARCH("no fiscal",IFERROR(VLOOKUP($B174,'Base de datos'!$A$3:$K$24,10,FALSE),"")))),OR(ISNUMBER(SEARCH("Hach",$B174)),ISNUMBER(SEARCH("Ketamina",$B174))),AND(IFERROR(VLOOKUP($B174,'Base de datos'!$A$3:$K$24,9,FALSE),"")&lt;&gt;"",IFERROR(VLOOKUP($B174,'Base de datos'!$A$3:$K$24,9,FALSE),"")&lt;&gt;0)),"",IFERROR((($E174*$C174/IFERROR(VLOOKUP($B174,'Base de datos'!$A$3:$K$24,3,FALSE),0))*1000)/IFERROR(VLOOKUP($B174,'Base de datos'!$A$3:$K$24,2,FALSE),0),""))</f>
        <v/>
      </c>
    </row>
    <row r="175" spans="1:15" x14ac:dyDescent="0.25">
      <c r="A175" s="4"/>
      <c r="B175" s="4"/>
      <c r="C175" s="5" t="str">
        <f>IFERROR(VLOOKUP($B175,'Base de datos'!$A$3:$K$24,3,FALSE),"")</f>
        <v/>
      </c>
      <c r="D175" s="4" t="str">
        <f t="shared" si="5"/>
        <v/>
      </c>
      <c r="E175" s="6"/>
      <c r="F175" s="7" t="str">
        <f>IF($B175="","",IF(OR(UPPER(IFERROR(VLOOKUP($B175,'Base de datos'!$A$3:$K$24,11,FALSE),""))="NO",ISNUMBER(SEARCH("no sometida",IFERROR(VLOOKUP($B175,'Base de datos'!$A$3:$K$24,10,FALSE),""))),ISNUMBER(SEARCH("no fiscal",IFERROR(VLOOKUP($B175,'Base de datos'!$A$3:$K$24,10,FALSE),"")))),"",IF(OR(OR(ISNUMBER(SEARCH("Hach",$B175)),ISNUMBER(SEARCH("Ketamina",$B175))),AND(IFERROR(VLOOKUP($B175,'Base de datos'!$A$3:$K$24,9,FALSE),"")&lt;&gt;"",IFERROR(VLOOKUP($B175,'Base de datos'!$A$3:$K$24,9,FALSE),"")&lt;&gt;0)),"",IFERROR($M175*VLOOKUP($B175,'Base de datos'!$A$3:$K$24,8,FALSE)/1000,""))))</f>
        <v/>
      </c>
      <c r="G175" s="7" t="str">
        <f>IF($B175="","",IF(OR(UPPER(IFERROR(VLOOKUP($B175,'Base de datos'!$A$3:$K$24,11,FALSE),""))="NO",ISNUMBER(SEARCH("no sometida",IFERROR(VLOOKUP($B175,'Base de datos'!$A$3:$K$24,10,FALSE),""))),ISNUMBER(SEARCH("no fiscal",IFERROR(VLOOKUP($B175,'Base de datos'!$A$3:$K$24,10,FALSE),"")))),"",IFERROR(IF(OR(ISNUMBER(SEARCH("Hach",$B175)),ISNUMBER(SEARCH("Ketamina",$B175))),IF(VLOOKUP($B175,'Base de datos'!$A$3:$K$24,6,FALSE)="","",$E175*VLOOKUP($B175,'Base de datos'!$A$3:$K$24,6,FALSE)),IF(AND(IFERROR(VLOOKUP($B175,'Base de datos'!$A$3:$K$24,9,FALSE),"")&lt;&gt;"",IFERROR(VLOOKUP($B175,'Base de datos'!$A$3:$K$24,9,FALSE),"")&lt;&gt;0),"",IF(VLOOKUP($B175,'Base de datos'!$A$3:$K$24,6,FALSE)="","",$N175*VLOOKUP($B175,'Base de datos'!$A$3:$K$24,6,FALSE)))),"")))</f>
        <v/>
      </c>
      <c r="H175" s="7" t="str">
        <f>IF($B175="","",IF(OR(UPPER(IFERROR(VLOOKUP($B175,'Base de datos'!$A$3:$K$24,11,FALSE),""))="NO",ISNUMBER(SEARCH("no sometida",IFERROR(VLOOKUP($B175,'Base de datos'!$A$3:$K$24,10,FALSE),""))),ISNUMBER(SEARCH("no fiscal",IFERROR(VLOOKUP($B175,'Base de datos'!$A$3:$K$24,10,FALSE),"")))),"",IF(OR(ISNUMBER(SEARCH("Hach",$B175)),ISNUMBER(SEARCH("Ketamina",$B175))),"",IF(AND(IFERROR(VLOOKUP($B175,'Base de datos'!$A$3:$K$24,9,FALSE),"")&lt;&gt;"",IFERROR(VLOOKUP($B175,'Base de datos'!$A$3:$K$24,9,FALSE),"")&lt;&gt;0),$E175*IFERROR(VLOOKUP($B175,'Base de datos'!$A$3:$K$24,9,FALSE),""),IFERROR($O175*VLOOKUP($B175,'Base de datos'!$A$3:$K$24,4,FALSE),"")))))</f>
        <v/>
      </c>
      <c r="I175" s="5" t="str">
        <f>IFERROR(VLOOKUP($B175,'Base de datos'!$A$3:$K$24,7,FALSE),"")</f>
        <v/>
      </c>
      <c r="J175" s="13" t="str">
        <f>IFERROR(VLOOKUP($B175,'Base de datos'!$A$3:$K$24,10,FALSE),"")</f>
        <v/>
      </c>
      <c r="K175" s="6"/>
      <c r="L175" s="4"/>
      <c r="M175" s="6" t="str">
        <f>IF(OR(OR(UPPER(IFERROR(VLOOKUP($B175,'Base de datos'!$A$3:$K$24,11,FALSE),""))="NO",ISNUMBER(SEARCH("no sometida",IFERROR(VLOOKUP($B175,'Base de datos'!$A$3:$K$24,10,FALSE),""))),ISNUMBER(SEARCH("no fiscal",IFERROR(VLOOKUP($B175,'Base de datos'!$A$3:$K$24,10,FALSE),"")))),OR(ISNUMBER(SEARCH("Hach",$B175)),ISNUMBER(SEARCH("Ketamina",$B175))),AND(IFERROR(VLOOKUP($B175,'Base de datos'!$A$3:$K$24,9,FALSE),"")&lt;&gt;"",IFERROR(VLOOKUP($B175,'Base de datos'!$A$3:$K$24,9,FALSE),"")&lt;&gt;0)),"",IFERROR($E175*$C175/$I175,""))</f>
        <v/>
      </c>
      <c r="N175" s="6" t="str">
        <f>IF(OR(OR(UPPER(IFERROR(VLOOKUP($B175,'Base de datos'!$A$3:$K$24,11,FALSE),""))="NO",ISNUMBER(SEARCH("no sometida",IFERROR(VLOOKUP($B175,'Base de datos'!$A$3:$K$24,10,FALSE),""))),ISNUMBER(SEARCH("no fiscal",IFERROR(VLOOKUP($B175,'Base de datos'!$A$3:$K$24,10,FALSE),"")))),OR(ISNUMBER(SEARCH("Hach",$B175)),ISNUMBER(SEARCH("Ketamina",$B175))),AND(IFERROR(VLOOKUP($B175,'Base de datos'!$A$3:$K$24,9,FALSE),"")&lt;&gt;"",IFERROR(VLOOKUP($B175,'Base de datos'!$A$3:$K$24,9,FALSE),"")&lt;&gt;0)),"",IFERROR($E175*$C175/IFERROR(VLOOKUP($B175,'Base de datos'!$A$3:$K$24,5,FALSE),0),""))</f>
        <v/>
      </c>
      <c r="O175" s="6" t="str">
        <f>IF(OR(OR(UPPER(IFERROR(VLOOKUP($B175,'Base de datos'!$A$3:$K$24,11,FALSE),""))="NO",ISNUMBER(SEARCH("no sometida",IFERROR(VLOOKUP($B175,'Base de datos'!$A$3:$K$24,10,FALSE),""))),ISNUMBER(SEARCH("no fiscal",IFERROR(VLOOKUP($B175,'Base de datos'!$A$3:$K$24,10,FALSE),"")))),OR(ISNUMBER(SEARCH("Hach",$B175)),ISNUMBER(SEARCH("Ketamina",$B175))),AND(IFERROR(VLOOKUP($B175,'Base de datos'!$A$3:$K$24,9,FALSE),"")&lt;&gt;"",IFERROR(VLOOKUP($B175,'Base de datos'!$A$3:$K$24,9,FALSE),"")&lt;&gt;0)),"",IFERROR((($E175*$C175/IFERROR(VLOOKUP($B175,'Base de datos'!$A$3:$K$24,3,FALSE),0))*1000)/IFERROR(VLOOKUP($B175,'Base de datos'!$A$3:$K$24,2,FALSE),0),""))</f>
        <v/>
      </c>
    </row>
    <row r="176" spans="1:15" x14ac:dyDescent="0.25">
      <c r="A176" s="4"/>
      <c r="B176" s="4"/>
      <c r="C176" s="5" t="str">
        <f>IFERROR(VLOOKUP($B176,'Base de datos'!$A$3:$K$24,3,FALSE),"")</f>
        <v/>
      </c>
      <c r="D176" s="4" t="str">
        <f t="shared" si="5"/>
        <v/>
      </c>
      <c r="E176" s="6"/>
      <c r="F176" s="7" t="str">
        <f>IF($B176="","",IF(OR(UPPER(IFERROR(VLOOKUP($B176,'Base de datos'!$A$3:$K$24,11,FALSE),""))="NO",ISNUMBER(SEARCH("no sometida",IFERROR(VLOOKUP($B176,'Base de datos'!$A$3:$K$24,10,FALSE),""))),ISNUMBER(SEARCH("no fiscal",IFERROR(VLOOKUP($B176,'Base de datos'!$A$3:$K$24,10,FALSE),"")))),"",IF(OR(OR(ISNUMBER(SEARCH("Hach",$B176)),ISNUMBER(SEARCH("Ketamina",$B176))),AND(IFERROR(VLOOKUP($B176,'Base de datos'!$A$3:$K$24,9,FALSE),"")&lt;&gt;"",IFERROR(VLOOKUP($B176,'Base de datos'!$A$3:$K$24,9,FALSE),"")&lt;&gt;0)),"",IFERROR($M176*VLOOKUP($B176,'Base de datos'!$A$3:$K$24,8,FALSE)/1000,""))))</f>
        <v/>
      </c>
      <c r="G176" s="7" t="str">
        <f>IF($B176="","",IF(OR(UPPER(IFERROR(VLOOKUP($B176,'Base de datos'!$A$3:$K$24,11,FALSE),""))="NO",ISNUMBER(SEARCH("no sometida",IFERROR(VLOOKUP($B176,'Base de datos'!$A$3:$K$24,10,FALSE),""))),ISNUMBER(SEARCH("no fiscal",IFERROR(VLOOKUP($B176,'Base de datos'!$A$3:$K$24,10,FALSE),"")))),"",IFERROR(IF(OR(ISNUMBER(SEARCH("Hach",$B176)),ISNUMBER(SEARCH("Ketamina",$B176))),IF(VLOOKUP($B176,'Base de datos'!$A$3:$K$24,6,FALSE)="","",$E176*VLOOKUP($B176,'Base de datos'!$A$3:$K$24,6,FALSE)),IF(AND(IFERROR(VLOOKUP($B176,'Base de datos'!$A$3:$K$24,9,FALSE),"")&lt;&gt;"",IFERROR(VLOOKUP($B176,'Base de datos'!$A$3:$K$24,9,FALSE),"")&lt;&gt;0),"",IF(VLOOKUP($B176,'Base de datos'!$A$3:$K$24,6,FALSE)="","",$N176*VLOOKUP($B176,'Base de datos'!$A$3:$K$24,6,FALSE)))),"")))</f>
        <v/>
      </c>
      <c r="H176" s="7" t="str">
        <f>IF($B176="","",IF(OR(UPPER(IFERROR(VLOOKUP($B176,'Base de datos'!$A$3:$K$24,11,FALSE),""))="NO",ISNUMBER(SEARCH("no sometida",IFERROR(VLOOKUP($B176,'Base de datos'!$A$3:$K$24,10,FALSE),""))),ISNUMBER(SEARCH("no fiscal",IFERROR(VLOOKUP($B176,'Base de datos'!$A$3:$K$24,10,FALSE),"")))),"",IF(OR(ISNUMBER(SEARCH("Hach",$B176)),ISNUMBER(SEARCH("Ketamina",$B176))),"",IF(AND(IFERROR(VLOOKUP($B176,'Base de datos'!$A$3:$K$24,9,FALSE),"")&lt;&gt;"",IFERROR(VLOOKUP($B176,'Base de datos'!$A$3:$K$24,9,FALSE),"")&lt;&gt;0),$E176*IFERROR(VLOOKUP($B176,'Base de datos'!$A$3:$K$24,9,FALSE),""),IFERROR($O176*VLOOKUP($B176,'Base de datos'!$A$3:$K$24,4,FALSE),"")))))</f>
        <v/>
      </c>
      <c r="I176" s="5" t="str">
        <f>IFERROR(VLOOKUP($B176,'Base de datos'!$A$3:$K$24,7,FALSE),"")</f>
        <v/>
      </c>
      <c r="J176" s="13" t="str">
        <f>IFERROR(VLOOKUP($B176,'Base de datos'!$A$3:$K$24,10,FALSE),"")</f>
        <v/>
      </c>
      <c r="K176" s="6"/>
      <c r="L176" s="4"/>
      <c r="M176" s="6" t="str">
        <f>IF(OR(OR(UPPER(IFERROR(VLOOKUP($B176,'Base de datos'!$A$3:$K$24,11,FALSE),""))="NO",ISNUMBER(SEARCH("no sometida",IFERROR(VLOOKUP($B176,'Base de datos'!$A$3:$K$24,10,FALSE),""))),ISNUMBER(SEARCH("no fiscal",IFERROR(VLOOKUP($B176,'Base de datos'!$A$3:$K$24,10,FALSE),"")))),OR(ISNUMBER(SEARCH("Hach",$B176)),ISNUMBER(SEARCH("Ketamina",$B176))),AND(IFERROR(VLOOKUP($B176,'Base de datos'!$A$3:$K$24,9,FALSE),"")&lt;&gt;"",IFERROR(VLOOKUP($B176,'Base de datos'!$A$3:$K$24,9,FALSE),"")&lt;&gt;0)),"",IFERROR($E176*$C176/$I176,""))</f>
        <v/>
      </c>
      <c r="N176" s="6" t="str">
        <f>IF(OR(OR(UPPER(IFERROR(VLOOKUP($B176,'Base de datos'!$A$3:$K$24,11,FALSE),""))="NO",ISNUMBER(SEARCH("no sometida",IFERROR(VLOOKUP($B176,'Base de datos'!$A$3:$K$24,10,FALSE),""))),ISNUMBER(SEARCH("no fiscal",IFERROR(VLOOKUP($B176,'Base de datos'!$A$3:$K$24,10,FALSE),"")))),OR(ISNUMBER(SEARCH("Hach",$B176)),ISNUMBER(SEARCH("Ketamina",$B176))),AND(IFERROR(VLOOKUP($B176,'Base de datos'!$A$3:$K$24,9,FALSE),"")&lt;&gt;"",IFERROR(VLOOKUP($B176,'Base de datos'!$A$3:$K$24,9,FALSE),"")&lt;&gt;0)),"",IFERROR($E176*$C176/IFERROR(VLOOKUP($B176,'Base de datos'!$A$3:$K$24,5,FALSE),0),""))</f>
        <v/>
      </c>
      <c r="O176" s="6" t="str">
        <f>IF(OR(OR(UPPER(IFERROR(VLOOKUP($B176,'Base de datos'!$A$3:$K$24,11,FALSE),""))="NO",ISNUMBER(SEARCH("no sometida",IFERROR(VLOOKUP($B176,'Base de datos'!$A$3:$K$24,10,FALSE),""))),ISNUMBER(SEARCH("no fiscal",IFERROR(VLOOKUP($B176,'Base de datos'!$A$3:$K$24,10,FALSE),"")))),OR(ISNUMBER(SEARCH("Hach",$B176)),ISNUMBER(SEARCH("Ketamina",$B176))),AND(IFERROR(VLOOKUP($B176,'Base de datos'!$A$3:$K$24,9,FALSE),"")&lt;&gt;"",IFERROR(VLOOKUP($B176,'Base de datos'!$A$3:$K$24,9,FALSE),"")&lt;&gt;0)),"",IFERROR((($E176*$C176/IFERROR(VLOOKUP($B176,'Base de datos'!$A$3:$K$24,3,FALSE),0))*1000)/IFERROR(VLOOKUP($B176,'Base de datos'!$A$3:$K$24,2,FALSE),0),""))</f>
        <v/>
      </c>
    </row>
    <row r="177" spans="1:15" x14ac:dyDescent="0.25">
      <c r="A177" s="4"/>
      <c r="B177" s="4"/>
      <c r="C177" s="5" t="str">
        <f>IFERROR(VLOOKUP($B177,'Base de datos'!$A$3:$K$24,3,FALSE),"")</f>
        <v/>
      </c>
      <c r="D177" s="4" t="str">
        <f t="shared" si="5"/>
        <v/>
      </c>
      <c r="E177" s="6"/>
      <c r="F177" s="7" t="str">
        <f>IF($B177="","",IF(OR(UPPER(IFERROR(VLOOKUP($B177,'Base de datos'!$A$3:$K$24,11,FALSE),""))="NO",ISNUMBER(SEARCH("no sometida",IFERROR(VLOOKUP($B177,'Base de datos'!$A$3:$K$24,10,FALSE),""))),ISNUMBER(SEARCH("no fiscal",IFERROR(VLOOKUP($B177,'Base de datos'!$A$3:$K$24,10,FALSE),"")))),"",IF(OR(OR(ISNUMBER(SEARCH("Hach",$B177)),ISNUMBER(SEARCH("Ketamina",$B177))),AND(IFERROR(VLOOKUP($B177,'Base de datos'!$A$3:$K$24,9,FALSE),"")&lt;&gt;"",IFERROR(VLOOKUP($B177,'Base de datos'!$A$3:$K$24,9,FALSE),"")&lt;&gt;0)),"",IFERROR($M177*VLOOKUP($B177,'Base de datos'!$A$3:$K$24,8,FALSE)/1000,""))))</f>
        <v/>
      </c>
      <c r="G177" s="7" t="str">
        <f>IF($B177="","",IF(OR(UPPER(IFERROR(VLOOKUP($B177,'Base de datos'!$A$3:$K$24,11,FALSE),""))="NO",ISNUMBER(SEARCH("no sometida",IFERROR(VLOOKUP($B177,'Base de datos'!$A$3:$K$24,10,FALSE),""))),ISNUMBER(SEARCH("no fiscal",IFERROR(VLOOKUP($B177,'Base de datos'!$A$3:$K$24,10,FALSE),"")))),"",IFERROR(IF(OR(ISNUMBER(SEARCH("Hach",$B177)),ISNUMBER(SEARCH("Ketamina",$B177))),IF(VLOOKUP($B177,'Base de datos'!$A$3:$K$24,6,FALSE)="","",$E177*VLOOKUP($B177,'Base de datos'!$A$3:$K$24,6,FALSE)),IF(AND(IFERROR(VLOOKUP($B177,'Base de datos'!$A$3:$K$24,9,FALSE),"")&lt;&gt;"",IFERROR(VLOOKUP($B177,'Base de datos'!$A$3:$K$24,9,FALSE),"")&lt;&gt;0),"",IF(VLOOKUP($B177,'Base de datos'!$A$3:$K$24,6,FALSE)="","",$N177*VLOOKUP($B177,'Base de datos'!$A$3:$K$24,6,FALSE)))),"")))</f>
        <v/>
      </c>
      <c r="H177" s="7" t="str">
        <f>IF($B177="","",IF(OR(UPPER(IFERROR(VLOOKUP($B177,'Base de datos'!$A$3:$K$24,11,FALSE),""))="NO",ISNUMBER(SEARCH("no sometida",IFERROR(VLOOKUP($B177,'Base de datos'!$A$3:$K$24,10,FALSE),""))),ISNUMBER(SEARCH("no fiscal",IFERROR(VLOOKUP($B177,'Base de datos'!$A$3:$K$24,10,FALSE),"")))),"",IF(OR(ISNUMBER(SEARCH("Hach",$B177)),ISNUMBER(SEARCH("Ketamina",$B177))),"",IF(AND(IFERROR(VLOOKUP($B177,'Base de datos'!$A$3:$K$24,9,FALSE),"")&lt;&gt;"",IFERROR(VLOOKUP($B177,'Base de datos'!$A$3:$K$24,9,FALSE),"")&lt;&gt;0),$E177*IFERROR(VLOOKUP($B177,'Base de datos'!$A$3:$K$24,9,FALSE),""),IFERROR($O177*VLOOKUP($B177,'Base de datos'!$A$3:$K$24,4,FALSE),"")))))</f>
        <v/>
      </c>
      <c r="I177" s="5" t="str">
        <f>IFERROR(VLOOKUP($B177,'Base de datos'!$A$3:$K$24,7,FALSE),"")</f>
        <v/>
      </c>
      <c r="J177" s="13" t="str">
        <f>IFERROR(VLOOKUP($B177,'Base de datos'!$A$3:$K$24,10,FALSE),"")</f>
        <v/>
      </c>
      <c r="K177" s="6"/>
      <c r="L177" s="4"/>
      <c r="M177" s="6" t="str">
        <f>IF(OR(OR(UPPER(IFERROR(VLOOKUP($B177,'Base de datos'!$A$3:$K$24,11,FALSE),""))="NO",ISNUMBER(SEARCH("no sometida",IFERROR(VLOOKUP($B177,'Base de datos'!$A$3:$K$24,10,FALSE),""))),ISNUMBER(SEARCH("no fiscal",IFERROR(VLOOKUP($B177,'Base de datos'!$A$3:$K$24,10,FALSE),"")))),OR(ISNUMBER(SEARCH("Hach",$B177)),ISNUMBER(SEARCH("Ketamina",$B177))),AND(IFERROR(VLOOKUP($B177,'Base de datos'!$A$3:$K$24,9,FALSE),"")&lt;&gt;"",IFERROR(VLOOKUP($B177,'Base de datos'!$A$3:$K$24,9,FALSE),"")&lt;&gt;0)),"",IFERROR($E177*$C177/$I177,""))</f>
        <v/>
      </c>
      <c r="N177" s="6" t="str">
        <f>IF(OR(OR(UPPER(IFERROR(VLOOKUP($B177,'Base de datos'!$A$3:$K$24,11,FALSE),""))="NO",ISNUMBER(SEARCH("no sometida",IFERROR(VLOOKUP($B177,'Base de datos'!$A$3:$K$24,10,FALSE),""))),ISNUMBER(SEARCH("no fiscal",IFERROR(VLOOKUP($B177,'Base de datos'!$A$3:$K$24,10,FALSE),"")))),OR(ISNUMBER(SEARCH("Hach",$B177)),ISNUMBER(SEARCH("Ketamina",$B177))),AND(IFERROR(VLOOKUP($B177,'Base de datos'!$A$3:$K$24,9,FALSE),"")&lt;&gt;"",IFERROR(VLOOKUP($B177,'Base de datos'!$A$3:$K$24,9,FALSE),"")&lt;&gt;0)),"",IFERROR($E177*$C177/IFERROR(VLOOKUP($B177,'Base de datos'!$A$3:$K$24,5,FALSE),0),""))</f>
        <v/>
      </c>
      <c r="O177" s="6" t="str">
        <f>IF(OR(OR(UPPER(IFERROR(VLOOKUP($B177,'Base de datos'!$A$3:$K$24,11,FALSE),""))="NO",ISNUMBER(SEARCH("no sometida",IFERROR(VLOOKUP($B177,'Base de datos'!$A$3:$K$24,10,FALSE),""))),ISNUMBER(SEARCH("no fiscal",IFERROR(VLOOKUP($B177,'Base de datos'!$A$3:$K$24,10,FALSE),"")))),OR(ISNUMBER(SEARCH("Hach",$B177)),ISNUMBER(SEARCH("Ketamina",$B177))),AND(IFERROR(VLOOKUP($B177,'Base de datos'!$A$3:$K$24,9,FALSE),"")&lt;&gt;"",IFERROR(VLOOKUP($B177,'Base de datos'!$A$3:$K$24,9,FALSE),"")&lt;&gt;0)),"",IFERROR((($E177*$C177/IFERROR(VLOOKUP($B177,'Base de datos'!$A$3:$K$24,3,FALSE),0))*1000)/IFERROR(VLOOKUP($B177,'Base de datos'!$A$3:$K$24,2,FALSE),0),""))</f>
        <v/>
      </c>
    </row>
    <row r="178" spans="1:15" x14ac:dyDescent="0.25">
      <c r="A178" s="4"/>
      <c r="B178" s="4"/>
      <c r="C178" s="5" t="str">
        <f>IFERROR(VLOOKUP($B178,'Base de datos'!$A$3:$K$24,3,FALSE),"")</f>
        <v/>
      </c>
      <c r="D178" s="4" t="str">
        <f t="shared" si="5"/>
        <v/>
      </c>
      <c r="E178" s="6"/>
      <c r="F178" s="7" t="str">
        <f>IF($B178="","",IF(OR(UPPER(IFERROR(VLOOKUP($B178,'Base de datos'!$A$3:$K$24,11,FALSE),""))="NO",ISNUMBER(SEARCH("no sometida",IFERROR(VLOOKUP($B178,'Base de datos'!$A$3:$K$24,10,FALSE),""))),ISNUMBER(SEARCH("no fiscal",IFERROR(VLOOKUP($B178,'Base de datos'!$A$3:$K$24,10,FALSE),"")))),"",IF(OR(OR(ISNUMBER(SEARCH("Hach",$B178)),ISNUMBER(SEARCH("Ketamina",$B178))),AND(IFERROR(VLOOKUP($B178,'Base de datos'!$A$3:$K$24,9,FALSE),"")&lt;&gt;"",IFERROR(VLOOKUP($B178,'Base de datos'!$A$3:$K$24,9,FALSE),"")&lt;&gt;0)),"",IFERROR($M178*VLOOKUP($B178,'Base de datos'!$A$3:$K$24,8,FALSE)/1000,""))))</f>
        <v/>
      </c>
      <c r="G178" s="7" t="str">
        <f>IF($B178="","",IF(OR(UPPER(IFERROR(VLOOKUP($B178,'Base de datos'!$A$3:$K$24,11,FALSE),""))="NO",ISNUMBER(SEARCH("no sometida",IFERROR(VLOOKUP($B178,'Base de datos'!$A$3:$K$24,10,FALSE),""))),ISNUMBER(SEARCH("no fiscal",IFERROR(VLOOKUP($B178,'Base de datos'!$A$3:$K$24,10,FALSE),"")))),"",IFERROR(IF(OR(ISNUMBER(SEARCH("Hach",$B178)),ISNUMBER(SEARCH("Ketamina",$B178))),IF(VLOOKUP($B178,'Base de datos'!$A$3:$K$24,6,FALSE)="","",$E178*VLOOKUP($B178,'Base de datos'!$A$3:$K$24,6,FALSE)),IF(AND(IFERROR(VLOOKUP($B178,'Base de datos'!$A$3:$K$24,9,FALSE),"")&lt;&gt;"",IFERROR(VLOOKUP($B178,'Base de datos'!$A$3:$K$24,9,FALSE),"")&lt;&gt;0),"",IF(VLOOKUP($B178,'Base de datos'!$A$3:$K$24,6,FALSE)="","",$N178*VLOOKUP($B178,'Base de datos'!$A$3:$K$24,6,FALSE)))),"")))</f>
        <v/>
      </c>
      <c r="H178" s="7" t="str">
        <f>IF($B178="","",IF(OR(UPPER(IFERROR(VLOOKUP($B178,'Base de datos'!$A$3:$K$24,11,FALSE),""))="NO",ISNUMBER(SEARCH("no sometida",IFERROR(VLOOKUP($B178,'Base de datos'!$A$3:$K$24,10,FALSE),""))),ISNUMBER(SEARCH("no fiscal",IFERROR(VLOOKUP($B178,'Base de datos'!$A$3:$K$24,10,FALSE),"")))),"",IF(OR(ISNUMBER(SEARCH("Hach",$B178)),ISNUMBER(SEARCH("Ketamina",$B178))),"",IF(AND(IFERROR(VLOOKUP($B178,'Base de datos'!$A$3:$K$24,9,FALSE),"")&lt;&gt;"",IFERROR(VLOOKUP($B178,'Base de datos'!$A$3:$K$24,9,FALSE),"")&lt;&gt;0),$E178*IFERROR(VLOOKUP($B178,'Base de datos'!$A$3:$K$24,9,FALSE),""),IFERROR($O178*VLOOKUP($B178,'Base de datos'!$A$3:$K$24,4,FALSE),"")))))</f>
        <v/>
      </c>
      <c r="I178" s="5" t="str">
        <f>IFERROR(VLOOKUP($B178,'Base de datos'!$A$3:$K$24,7,FALSE),"")</f>
        <v/>
      </c>
      <c r="J178" s="13" t="str">
        <f>IFERROR(VLOOKUP($B178,'Base de datos'!$A$3:$K$24,10,FALSE),"")</f>
        <v/>
      </c>
      <c r="K178" s="6"/>
      <c r="L178" s="4"/>
      <c r="M178" s="6" t="str">
        <f>IF(OR(OR(UPPER(IFERROR(VLOOKUP($B178,'Base de datos'!$A$3:$K$24,11,FALSE),""))="NO",ISNUMBER(SEARCH("no sometida",IFERROR(VLOOKUP($B178,'Base de datos'!$A$3:$K$24,10,FALSE),""))),ISNUMBER(SEARCH("no fiscal",IFERROR(VLOOKUP($B178,'Base de datos'!$A$3:$K$24,10,FALSE),"")))),OR(ISNUMBER(SEARCH("Hach",$B178)),ISNUMBER(SEARCH("Ketamina",$B178))),AND(IFERROR(VLOOKUP($B178,'Base de datos'!$A$3:$K$24,9,FALSE),"")&lt;&gt;"",IFERROR(VLOOKUP($B178,'Base de datos'!$A$3:$K$24,9,FALSE),"")&lt;&gt;0)),"",IFERROR($E178*$C178/$I178,""))</f>
        <v/>
      </c>
      <c r="N178" s="6" t="str">
        <f>IF(OR(OR(UPPER(IFERROR(VLOOKUP($B178,'Base de datos'!$A$3:$K$24,11,FALSE),""))="NO",ISNUMBER(SEARCH("no sometida",IFERROR(VLOOKUP($B178,'Base de datos'!$A$3:$K$24,10,FALSE),""))),ISNUMBER(SEARCH("no fiscal",IFERROR(VLOOKUP($B178,'Base de datos'!$A$3:$K$24,10,FALSE),"")))),OR(ISNUMBER(SEARCH("Hach",$B178)),ISNUMBER(SEARCH("Ketamina",$B178))),AND(IFERROR(VLOOKUP($B178,'Base de datos'!$A$3:$K$24,9,FALSE),"")&lt;&gt;"",IFERROR(VLOOKUP($B178,'Base de datos'!$A$3:$K$24,9,FALSE),"")&lt;&gt;0)),"",IFERROR($E178*$C178/IFERROR(VLOOKUP($B178,'Base de datos'!$A$3:$K$24,5,FALSE),0),""))</f>
        <v/>
      </c>
      <c r="O178" s="6" t="str">
        <f>IF(OR(OR(UPPER(IFERROR(VLOOKUP($B178,'Base de datos'!$A$3:$K$24,11,FALSE),""))="NO",ISNUMBER(SEARCH("no sometida",IFERROR(VLOOKUP($B178,'Base de datos'!$A$3:$K$24,10,FALSE),""))),ISNUMBER(SEARCH("no fiscal",IFERROR(VLOOKUP($B178,'Base de datos'!$A$3:$K$24,10,FALSE),"")))),OR(ISNUMBER(SEARCH("Hach",$B178)),ISNUMBER(SEARCH("Ketamina",$B178))),AND(IFERROR(VLOOKUP($B178,'Base de datos'!$A$3:$K$24,9,FALSE),"")&lt;&gt;"",IFERROR(VLOOKUP($B178,'Base de datos'!$A$3:$K$24,9,FALSE),"")&lt;&gt;0)),"",IFERROR((($E178*$C178/IFERROR(VLOOKUP($B178,'Base de datos'!$A$3:$K$24,3,FALSE),0))*1000)/IFERROR(VLOOKUP($B178,'Base de datos'!$A$3:$K$24,2,FALSE),0),""))</f>
        <v/>
      </c>
    </row>
    <row r="179" spans="1:15" x14ac:dyDescent="0.25">
      <c r="A179" s="4"/>
      <c r="B179" s="4"/>
      <c r="C179" s="5" t="str">
        <f>IFERROR(VLOOKUP($B179,'Base de datos'!$A$3:$K$24,3,FALSE),"")</f>
        <v/>
      </c>
      <c r="D179" s="4" t="str">
        <f t="shared" si="5"/>
        <v/>
      </c>
      <c r="E179" s="6"/>
      <c r="F179" s="7" t="str">
        <f>IF($B179="","",IF(OR(UPPER(IFERROR(VLOOKUP($B179,'Base de datos'!$A$3:$K$24,11,FALSE),""))="NO",ISNUMBER(SEARCH("no sometida",IFERROR(VLOOKUP($B179,'Base de datos'!$A$3:$K$24,10,FALSE),""))),ISNUMBER(SEARCH("no fiscal",IFERROR(VLOOKUP($B179,'Base de datos'!$A$3:$K$24,10,FALSE),"")))),"",IF(OR(OR(ISNUMBER(SEARCH("Hach",$B179)),ISNUMBER(SEARCH("Ketamina",$B179))),AND(IFERROR(VLOOKUP($B179,'Base de datos'!$A$3:$K$24,9,FALSE),"")&lt;&gt;"",IFERROR(VLOOKUP($B179,'Base de datos'!$A$3:$K$24,9,FALSE),"")&lt;&gt;0)),"",IFERROR($M179*VLOOKUP($B179,'Base de datos'!$A$3:$K$24,8,FALSE)/1000,""))))</f>
        <v/>
      </c>
      <c r="G179" s="7" t="str">
        <f>IF($B179="","",IF(OR(UPPER(IFERROR(VLOOKUP($B179,'Base de datos'!$A$3:$K$24,11,FALSE),""))="NO",ISNUMBER(SEARCH("no sometida",IFERROR(VLOOKUP($B179,'Base de datos'!$A$3:$K$24,10,FALSE),""))),ISNUMBER(SEARCH("no fiscal",IFERROR(VLOOKUP($B179,'Base de datos'!$A$3:$K$24,10,FALSE),"")))),"",IFERROR(IF(OR(ISNUMBER(SEARCH("Hach",$B179)),ISNUMBER(SEARCH("Ketamina",$B179))),IF(VLOOKUP($B179,'Base de datos'!$A$3:$K$24,6,FALSE)="","",$E179*VLOOKUP($B179,'Base de datos'!$A$3:$K$24,6,FALSE)),IF(AND(IFERROR(VLOOKUP($B179,'Base de datos'!$A$3:$K$24,9,FALSE),"")&lt;&gt;"",IFERROR(VLOOKUP($B179,'Base de datos'!$A$3:$K$24,9,FALSE),"")&lt;&gt;0),"",IF(VLOOKUP($B179,'Base de datos'!$A$3:$K$24,6,FALSE)="","",$N179*VLOOKUP($B179,'Base de datos'!$A$3:$K$24,6,FALSE)))),"")))</f>
        <v/>
      </c>
      <c r="H179" s="7" t="str">
        <f>IF($B179="","",IF(OR(UPPER(IFERROR(VLOOKUP($B179,'Base de datos'!$A$3:$K$24,11,FALSE),""))="NO",ISNUMBER(SEARCH("no sometida",IFERROR(VLOOKUP($B179,'Base de datos'!$A$3:$K$24,10,FALSE),""))),ISNUMBER(SEARCH("no fiscal",IFERROR(VLOOKUP($B179,'Base de datos'!$A$3:$K$24,10,FALSE),"")))),"",IF(OR(ISNUMBER(SEARCH("Hach",$B179)),ISNUMBER(SEARCH("Ketamina",$B179))),"",IF(AND(IFERROR(VLOOKUP($B179,'Base de datos'!$A$3:$K$24,9,FALSE),"")&lt;&gt;"",IFERROR(VLOOKUP($B179,'Base de datos'!$A$3:$K$24,9,FALSE),"")&lt;&gt;0),$E179*IFERROR(VLOOKUP($B179,'Base de datos'!$A$3:$K$24,9,FALSE),""),IFERROR($O179*VLOOKUP($B179,'Base de datos'!$A$3:$K$24,4,FALSE),"")))))</f>
        <v/>
      </c>
      <c r="I179" s="5" t="str">
        <f>IFERROR(VLOOKUP($B179,'Base de datos'!$A$3:$K$24,7,FALSE),"")</f>
        <v/>
      </c>
      <c r="J179" s="13" t="str">
        <f>IFERROR(VLOOKUP($B179,'Base de datos'!$A$3:$K$24,10,FALSE),"")</f>
        <v/>
      </c>
      <c r="K179" s="6"/>
      <c r="L179" s="4"/>
      <c r="M179" s="6" t="str">
        <f>IF(OR(OR(UPPER(IFERROR(VLOOKUP($B179,'Base de datos'!$A$3:$K$24,11,FALSE),""))="NO",ISNUMBER(SEARCH("no sometida",IFERROR(VLOOKUP($B179,'Base de datos'!$A$3:$K$24,10,FALSE),""))),ISNUMBER(SEARCH("no fiscal",IFERROR(VLOOKUP($B179,'Base de datos'!$A$3:$K$24,10,FALSE),"")))),OR(ISNUMBER(SEARCH("Hach",$B179)),ISNUMBER(SEARCH("Ketamina",$B179))),AND(IFERROR(VLOOKUP($B179,'Base de datos'!$A$3:$K$24,9,FALSE),"")&lt;&gt;"",IFERROR(VLOOKUP($B179,'Base de datos'!$A$3:$K$24,9,FALSE),"")&lt;&gt;0)),"",IFERROR($E179*$C179/$I179,""))</f>
        <v/>
      </c>
      <c r="N179" s="6" t="str">
        <f>IF(OR(OR(UPPER(IFERROR(VLOOKUP($B179,'Base de datos'!$A$3:$K$24,11,FALSE),""))="NO",ISNUMBER(SEARCH("no sometida",IFERROR(VLOOKUP($B179,'Base de datos'!$A$3:$K$24,10,FALSE),""))),ISNUMBER(SEARCH("no fiscal",IFERROR(VLOOKUP($B179,'Base de datos'!$A$3:$K$24,10,FALSE),"")))),OR(ISNUMBER(SEARCH("Hach",$B179)),ISNUMBER(SEARCH("Ketamina",$B179))),AND(IFERROR(VLOOKUP($B179,'Base de datos'!$A$3:$K$24,9,FALSE),"")&lt;&gt;"",IFERROR(VLOOKUP($B179,'Base de datos'!$A$3:$K$24,9,FALSE),"")&lt;&gt;0)),"",IFERROR($E179*$C179/IFERROR(VLOOKUP($B179,'Base de datos'!$A$3:$K$24,5,FALSE),0),""))</f>
        <v/>
      </c>
      <c r="O179" s="6" t="str">
        <f>IF(OR(OR(UPPER(IFERROR(VLOOKUP($B179,'Base de datos'!$A$3:$K$24,11,FALSE),""))="NO",ISNUMBER(SEARCH("no sometida",IFERROR(VLOOKUP($B179,'Base de datos'!$A$3:$K$24,10,FALSE),""))),ISNUMBER(SEARCH("no fiscal",IFERROR(VLOOKUP($B179,'Base de datos'!$A$3:$K$24,10,FALSE),"")))),OR(ISNUMBER(SEARCH("Hach",$B179)),ISNUMBER(SEARCH("Ketamina",$B179))),AND(IFERROR(VLOOKUP($B179,'Base de datos'!$A$3:$K$24,9,FALSE),"")&lt;&gt;"",IFERROR(VLOOKUP($B179,'Base de datos'!$A$3:$K$24,9,FALSE),"")&lt;&gt;0)),"",IFERROR((($E179*$C179/IFERROR(VLOOKUP($B179,'Base de datos'!$A$3:$K$24,3,FALSE),0))*1000)/IFERROR(VLOOKUP($B179,'Base de datos'!$A$3:$K$24,2,FALSE),0),""))</f>
        <v/>
      </c>
    </row>
    <row r="180" spans="1:15" x14ac:dyDescent="0.25">
      <c r="A180" s="4"/>
      <c r="B180" s="4"/>
      <c r="C180" s="5" t="str">
        <f>IFERROR(VLOOKUP($B180,'Base de datos'!$A$3:$K$24,3,FALSE),"")</f>
        <v/>
      </c>
      <c r="D180" s="4" t="str">
        <f t="shared" si="5"/>
        <v/>
      </c>
      <c r="E180" s="6"/>
      <c r="F180" s="7" t="str">
        <f>IF($B180="","",IF(OR(UPPER(IFERROR(VLOOKUP($B180,'Base de datos'!$A$3:$K$24,11,FALSE),""))="NO",ISNUMBER(SEARCH("no sometida",IFERROR(VLOOKUP($B180,'Base de datos'!$A$3:$K$24,10,FALSE),""))),ISNUMBER(SEARCH("no fiscal",IFERROR(VLOOKUP($B180,'Base de datos'!$A$3:$K$24,10,FALSE),"")))),"",IF(OR(OR(ISNUMBER(SEARCH("Hach",$B180)),ISNUMBER(SEARCH("Ketamina",$B180))),AND(IFERROR(VLOOKUP($B180,'Base de datos'!$A$3:$K$24,9,FALSE),"")&lt;&gt;"",IFERROR(VLOOKUP($B180,'Base de datos'!$A$3:$K$24,9,FALSE),"")&lt;&gt;0)),"",IFERROR($M180*VLOOKUP($B180,'Base de datos'!$A$3:$K$24,8,FALSE)/1000,""))))</f>
        <v/>
      </c>
      <c r="G180" s="7" t="str">
        <f>IF($B180="","",IF(OR(UPPER(IFERROR(VLOOKUP($B180,'Base de datos'!$A$3:$K$24,11,FALSE),""))="NO",ISNUMBER(SEARCH("no sometida",IFERROR(VLOOKUP($B180,'Base de datos'!$A$3:$K$24,10,FALSE),""))),ISNUMBER(SEARCH("no fiscal",IFERROR(VLOOKUP($B180,'Base de datos'!$A$3:$K$24,10,FALSE),"")))),"",IFERROR(IF(OR(ISNUMBER(SEARCH("Hach",$B180)),ISNUMBER(SEARCH("Ketamina",$B180))),IF(VLOOKUP($B180,'Base de datos'!$A$3:$K$24,6,FALSE)="","",$E180*VLOOKUP($B180,'Base de datos'!$A$3:$K$24,6,FALSE)),IF(AND(IFERROR(VLOOKUP($B180,'Base de datos'!$A$3:$K$24,9,FALSE),"")&lt;&gt;"",IFERROR(VLOOKUP($B180,'Base de datos'!$A$3:$K$24,9,FALSE),"")&lt;&gt;0),"",IF(VLOOKUP($B180,'Base de datos'!$A$3:$K$24,6,FALSE)="","",$N180*VLOOKUP($B180,'Base de datos'!$A$3:$K$24,6,FALSE)))),"")))</f>
        <v/>
      </c>
      <c r="H180" s="7" t="str">
        <f>IF($B180="","",IF(OR(UPPER(IFERROR(VLOOKUP($B180,'Base de datos'!$A$3:$K$24,11,FALSE),""))="NO",ISNUMBER(SEARCH("no sometida",IFERROR(VLOOKUP($B180,'Base de datos'!$A$3:$K$24,10,FALSE),""))),ISNUMBER(SEARCH("no fiscal",IFERROR(VLOOKUP($B180,'Base de datos'!$A$3:$K$24,10,FALSE),"")))),"",IF(OR(ISNUMBER(SEARCH("Hach",$B180)),ISNUMBER(SEARCH("Ketamina",$B180))),"",IF(AND(IFERROR(VLOOKUP($B180,'Base de datos'!$A$3:$K$24,9,FALSE),"")&lt;&gt;"",IFERROR(VLOOKUP($B180,'Base de datos'!$A$3:$K$24,9,FALSE),"")&lt;&gt;0),$E180*IFERROR(VLOOKUP($B180,'Base de datos'!$A$3:$K$24,9,FALSE),""),IFERROR($O180*VLOOKUP($B180,'Base de datos'!$A$3:$K$24,4,FALSE),"")))))</f>
        <v/>
      </c>
      <c r="I180" s="5" t="str">
        <f>IFERROR(VLOOKUP($B180,'Base de datos'!$A$3:$K$24,7,FALSE),"")</f>
        <v/>
      </c>
      <c r="J180" s="13" t="str">
        <f>IFERROR(VLOOKUP($B180,'Base de datos'!$A$3:$K$24,10,FALSE),"")</f>
        <v/>
      </c>
      <c r="K180" s="6"/>
      <c r="L180" s="4"/>
      <c r="M180" s="6" t="str">
        <f>IF(OR(OR(UPPER(IFERROR(VLOOKUP($B180,'Base de datos'!$A$3:$K$24,11,FALSE),""))="NO",ISNUMBER(SEARCH("no sometida",IFERROR(VLOOKUP($B180,'Base de datos'!$A$3:$K$24,10,FALSE),""))),ISNUMBER(SEARCH("no fiscal",IFERROR(VLOOKUP($B180,'Base de datos'!$A$3:$K$24,10,FALSE),"")))),OR(ISNUMBER(SEARCH("Hach",$B180)),ISNUMBER(SEARCH("Ketamina",$B180))),AND(IFERROR(VLOOKUP($B180,'Base de datos'!$A$3:$K$24,9,FALSE),"")&lt;&gt;"",IFERROR(VLOOKUP($B180,'Base de datos'!$A$3:$K$24,9,FALSE),"")&lt;&gt;0)),"",IFERROR($E180*$C180/$I180,""))</f>
        <v/>
      </c>
      <c r="N180" s="6" t="str">
        <f>IF(OR(OR(UPPER(IFERROR(VLOOKUP($B180,'Base de datos'!$A$3:$K$24,11,FALSE),""))="NO",ISNUMBER(SEARCH("no sometida",IFERROR(VLOOKUP($B180,'Base de datos'!$A$3:$K$24,10,FALSE),""))),ISNUMBER(SEARCH("no fiscal",IFERROR(VLOOKUP($B180,'Base de datos'!$A$3:$K$24,10,FALSE),"")))),OR(ISNUMBER(SEARCH("Hach",$B180)),ISNUMBER(SEARCH("Ketamina",$B180))),AND(IFERROR(VLOOKUP($B180,'Base de datos'!$A$3:$K$24,9,FALSE),"")&lt;&gt;"",IFERROR(VLOOKUP($B180,'Base de datos'!$A$3:$K$24,9,FALSE),"")&lt;&gt;0)),"",IFERROR($E180*$C180/IFERROR(VLOOKUP($B180,'Base de datos'!$A$3:$K$24,5,FALSE),0),""))</f>
        <v/>
      </c>
      <c r="O180" s="6" t="str">
        <f>IF(OR(OR(UPPER(IFERROR(VLOOKUP($B180,'Base de datos'!$A$3:$K$24,11,FALSE),""))="NO",ISNUMBER(SEARCH("no sometida",IFERROR(VLOOKUP($B180,'Base de datos'!$A$3:$K$24,10,FALSE),""))),ISNUMBER(SEARCH("no fiscal",IFERROR(VLOOKUP($B180,'Base de datos'!$A$3:$K$24,10,FALSE),"")))),OR(ISNUMBER(SEARCH("Hach",$B180)),ISNUMBER(SEARCH("Ketamina",$B180))),AND(IFERROR(VLOOKUP($B180,'Base de datos'!$A$3:$K$24,9,FALSE),"")&lt;&gt;"",IFERROR(VLOOKUP($B180,'Base de datos'!$A$3:$K$24,9,FALSE),"")&lt;&gt;0)),"",IFERROR((($E180*$C180/IFERROR(VLOOKUP($B180,'Base de datos'!$A$3:$K$24,3,FALSE),0))*1000)/IFERROR(VLOOKUP($B180,'Base de datos'!$A$3:$K$24,2,FALSE),0),""))</f>
        <v/>
      </c>
    </row>
    <row r="181" spans="1:15" x14ac:dyDescent="0.25">
      <c r="A181" s="4"/>
      <c r="B181" s="4"/>
      <c r="C181" s="5" t="str">
        <f>IFERROR(VLOOKUP($B181,'Base de datos'!$A$3:$K$24,3,FALSE),"")</f>
        <v/>
      </c>
      <c r="D181" s="4" t="str">
        <f t="shared" si="5"/>
        <v/>
      </c>
      <c r="E181" s="6"/>
      <c r="F181" s="7" t="str">
        <f>IF($B181="","",IF(OR(UPPER(IFERROR(VLOOKUP($B181,'Base de datos'!$A$3:$K$24,11,FALSE),""))="NO",ISNUMBER(SEARCH("no sometida",IFERROR(VLOOKUP($B181,'Base de datos'!$A$3:$K$24,10,FALSE),""))),ISNUMBER(SEARCH("no fiscal",IFERROR(VLOOKUP($B181,'Base de datos'!$A$3:$K$24,10,FALSE),"")))),"",IF(OR(OR(ISNUMBER(SEARCH("Hach",$B181)),ISNUMBER(SEARCH("Ketamina",$B181))),AND(IFERROR(VLOOKUP($B181,'Base de datos'!$A$3:$K$24,9,FALSE),"")&lt;&gt;"",IFERROR(VLOOKUP($B181,'Base de datos'!$A$3:$K$24,9,FALSE),"")&lt;&gt;0)),"",IFERROR($M181*VLOOKUP($B181,'Base de datos'!$A$3:$K$24,8,FALSE)/1000,""))))</f>
        <v/>
      </c>
      <c r="G181" s="7" t="str">
        <f>IF($B181="","",IF(OR(UPPER(IFERROR(VLOOKUP($B181,'Base de datos'!$A$3:$K$24,11,FALSE),""))="NO",ISNUMBER(SEARCH("no sometida",IFERROR(VLOOKUP($B181,'Base de datos'!$A$3:$K$24,10,FALSE),""))),ISNUMBER(SEARCH("no fiscal",IFERROR(VLOOKUP($B181,'Base de datos'!$A$3:$K$24,10,FALSE),"")))),"",IFERROR(IF(OR(ISNUMBER(SEARCH("Hach",$B181)),ISNUMBER(SEARCH("Ketamina",$B181))),IF(VLOOKUP($B181,'Base de datos'!$A$3:$K$24,6,FALSE)="","",$E181*VLOOKUP($B181,'Base de datos'!$A$3:$K$24,6,FALSE)),IF(AND(IFERROR(VLOOKUP($B181,'Base de datos'!$A$3:$K$24,9,FALSE),"")&lt;&gt;"",IFERROR(VLOOKUP($B181,'Base de datos'!$A$3:$K$24,9,FALSE),"")&lt;&gt;0),"",IF(VLOOKUP($B181,'Base de datos'!$A$3:$K$24,6,FALSE)="","",$N181*VLOOKUP($B181,'Base de datos'!$A$3:$K$24,6,FALSE)))),"")))</f>
        <v/>
      </c>
      <c r="H181" s="7" t="str">
        <f>IF($B181="","",IF(OR(UPPER(IFERROR(VLOOKUP($B181,'Base de datos'!$A$3:$K$24,11,FALSE),""))="NO",ISNUMBER(SEARCH("no sometida",IFERROR(VLOOKUP($B181,'Base de datos'!$A$3:$K$24,10,FALSE),""))),ISNUMBER(SEARCH("no fiscal",IFERROR(VLOOKUP($B181,'Base de datos'!$A$3:$K$24,10,FALSE),"")))),"",IF(OR(ISNUMBER(SEARCH("Hach",$B181)),ISNUMBER(SEARCH("Ketamina",$B181))),"",IF(AND(IFERROR(VLOOKUP($B181,'Base de datos'!$A$3:$K$24,9,FALSE),"")&lt;&gt;"",IFERROR(VLOOKUP($B181,'Base de datos'!$A$3:$K$24,9,FALSE),"")&lt;&gt;0),$E181*IFERROR(VLOOKUP($B181,'Base de datos'!$A$3:$K$24,9,FALSE),""),IFERROR($O181*VLOOKUP($B181,'Base de datos'!$A$3:$K$24,4,FALSE),"")))))</f>
        <v/>
      </c>
      <c r="I181" s="5" t="str">
        <f>IFERROR(VLOOKUP($B181,'Base de datos'!$A$3:$K$24,7,FALSE),"")</f>
        <v/>
      </c>
      <c r="J181" s="13" t="str">
        <f>IFERROR(VLOOKUP($B181,'Base de datos'!$A$3:$K$24,10,FALSE),"")</f>
        <v/>
      </c>
      <c r="K181" s="6"/>
      <c r="L181" s="4"/>
      <c r="M181" s="6" t="str">
        <f>IF(OR(OR(UPPER(IFERROR(VLOOKUP($B181,'Base de datos'!$A$3:$K$24,11,FALSE),""))="NO",ISNUMBER(SEARCH("no sometida",IFERROR(VLOOKUP($B181,'Base de datos'!$A$3:$K$24,10,FALSE),""))),ISNUMBER(SEARCH("no fiscal",IFERROR(VLOOKUP($B181,'Base de datos'!$A$3:$K$24,10,FALSE),"")))),OR(ISNUMBER(SEARCH("Hach",$B181)),ISNUMBER(SEARCH("Ketamina",$B181))),AND(IFERROR(VLOOKUP($B181,'Base de datos'!$A$3:$K$24,9,FALSE),"")&lt;&gt;"",IFERROR(VLOOKUP($B181,'Base de datos'!$A$3:$K$24,9,FALSE),"")&lt;&gt;0)),"",IFERROR($E181*$C181/$I181,""))</f>
        <v/>
      </c>
      <c r="N181" s="6" t="str">
        <f>IF(OR(OR(UPPER(IFERROR(VLOOKUP($B181,'Base de datos'!$A$3:$K$24,11,FALSE),""))="NO",ISNUMBER(SEARCH("no sometida",IFERROR(VLOOKUP($B181,'Base de datos'!$A$3:$K$24,10,FALSE),""))),ISNUMBER(SEARCH("no fiscal",IFERROR(VLOOKUP($B181,'Base de datos'!$A$3:$K$24,10,FALSE),"")))),OR(ISNUMBER(SEARCH("Hach",$B181)),ISNUMBER(SEARCH("Ketamina",$B181))),AND(IFERROR(VLOOKUP($B181,'Base de datos'!$A$3:$K$24,9,FALSE),"")&lt;&gt;"",IFERROR(VLOOKUP($B181,'Base de datos'!$A$3:$K$24,9,FALSE),"")&lt;&gt;0)),"",IFERROR($E181*$C181/IFERROR(VLOOKUP($B181,'Base de datos'!$A$3:$K$24,5,FALSE),0),""))</f>
        <v/>
      </c>
      <c r="O181" s="6" t="str">
        <f>IF(OR(OR(UPPER(IFERROR(VLOOKUP($B181,'Base de datos'!$A$3:$K$24,11,FALSE),""))="NO",ISNUMBER(SEARCH("no sometida",IFERROR(VLOOKUP($B181,'Base de datos'!$A$3:$K$24,10,FALSE),""))),ISNUMBER(SEARCH("no fiscal",IFERROR(VLOOKUP($B181,'Base de datos'!$A$3:$K$24,10,FALSE),"")))),OR(ISNUMBER(SEARCH("Hach",$B181)),ISNUMBER(SEARCH("Ketamina",$B181))),AND(IFERROR(VLOOKUP($B181,'Base de datos'!$A$3:$K$24,9,FALSE),"")&lt;&gt;"",IFERROR(VLOOKUP($B181,'Base de datos'!$A$3:$K$24,9,FALSE),"")&lt;&gt;0)),"",IFERROR((($E181*$C181/IFERROR(VLOOKUP($B181,'Base de datos'!$A$3:$K$24,3,FALSE),0))*1000)/IFERROR(VLOOKUP($B181,'Base de datos'!$A$3:$K$24,2,FALSE),0),""))</f>
        <v/>
      </c>
    </row>
    <row r="182" spans="1:15" x14ac:dyDescent="0.25">
      <c r="A182" s="4"/>
      <c r="B182" s="4"/>
      <c r="C182" s="5" t="str">
        <f>IFERROR(VLOOKUP($B182,'Base de datos'!$A$3:$K$24,3,FALSE),"")</f>
        <v/>
      </c>
      <c r="D182" s="4" t="str">
        <f t="shared" si="5"/>
        <v/>
      </c>
      <c r="E182" s="6"/>
      <c r="F182" s="7" t="str">
        <f>IF($B182="","",IF(OR(UPPER(IFERROR(VLOOKUP($B182,'Base de datos'!$A$3:$K$24,11,FALSE),""))="NO",ISNUMBER(SEARCH("no sometida",IFERROR(VLOOKUP($B182,'Base de datos'!$A$3:$K$24,10,FALSE),""))),ISNUMBER(SEARCH("no fiscal",IFERROR(VLOOKUP($B182,'Base de datos'!$A$3:$K$24,10,FALSE),"")))),"",IF(OR(OR(ISNUMBER(SEARCH("Hach",$B182)),ISNUMBER(SEARCH("Ketamina",$B182))),AND(IFERROR(VLOOKUP($B182,'Base de datos'!$A$3:$K$24,9,FALSE),"")&lt;&gt;"",IFERROR(VLOOKUP($B182,'Base de datos'!$A$3:$K$24,9,FALSE),"")&lt;&gt;0)),"",IFERROR($M182*VLOOKUP($B182,'Base de datos'!$A$3:$K$24,8,FALSE)/1000,""))))</f>
        <v/>
      </c>
      <c r="G182" s="7" t="str">
        <f>IF($B182="","",IF(OR(UPPER(IFERROR(VLOOKUP($B182,'Base de datos'!$A$3:$K$24,11,FALSE),""))="NO",ISNUMBER(SEARCH("no sometida",IFERROR(VLOOKUP($B182,'Base de datos'!$A$3:$K$24,10,FALSE),""))),ISNUMBER(SEARCH("no fiscal",IFERROR(VLOOKUP($B182,'Base de datos'!$A$3:$K$24,10,FALSE),"")))),"",IFERROR(IF(OR(ISNUMBER(SEARCH("Hach",$B182)),ISNUMBER(SEARCH("Ketamina",$B182))),IF(VLOOKUP($B182,'Base de datos'!$A$3:$K$24,6,FALSE)="","",$E182*VLOOKUP($B182,'Base de datos'!$A$3:$K$24,6,FALSE)),IF(AND(IFERROR(VLOOKUP($B182,'Base de datos'!$A$3:$K$24,9,FALSE),"")&lt;&gt;"",IFERROR(VLOOKUP($B182,'Base de datos'!$A$3:$K$24,9,FALSE),"")&lt;&gt;0),"",IF(VLOOKUP($B182,'Base de datos'!$A$3:$K$24,6,FALSE)="","",$N182*VLOOKUP($B182,'Base de datos'!$A$3:$K$24,6,FALSE)))),"")))</f>
        <v/>
      </c>
      <c r="H182" s="7" t="str">
        <f>IF($B182="","",IF(OR(UPPER(IFERROR(VLOOKUP($B182,'Base de datos'!$A$3:$K$24,11,FALSE),""))="NO",ISNUMBER(SEARCH("no sometida",IFERROR(VLOOKUP($B182,'Base de datos'!$A$3:$K$24,10,FALSE),""))),ISNUMBER(SEARCH("no fiscal",IFERROR(VLOOKUP($B182,'Base de datos'!$A$3:$K$24,10,FALSE),"")))),"",IF(OR(ISNUMBER(SEARCH("Hach",$B182)),ISNUMBER(SEARCH("Ketamina",$B182))),"",IF(AND(IFERROR(VLOOKUP($B182,'Base de datos'!$A$3:$K$24,9,FALSE),"")&lt;&gt;"",IFERROR(VLOOKUP($B182,'Base de datos'!$A$3:$K$24,9,FALSE),"")&lt;&gt;0),$E182*IFERROR(VLOOKUP($B182,'Base de datos'!$A$3:$K$24,9,FALSE),""),IFERROR($O182*VLOOKUP($B182,'Base de datos'!$A$3:$K$24,4,FALSE),"")))))</f>
        <v/>
      </c>
      <c r="I182" s="5" t="str">
        <f>IFERROR(VLOOKUP($B182,'Base de datos'!$A$3:$K$24,7,FALSE),"")</f>
        <v/>
      </c>
      <c r="J182" s="13" t="str">
        <f>IFERROR(VLOOKUP($B182,'Base de datos'!$A$3:$K$24,10,FALSE),"")</f>
        <v/>
      </c>
      <c r="K182" s="6"/>
      <c r="L182" s="4"/>
      <c r="M182" s="6" t="str">
        <f>IF(OR(OR(UPPER(IFERROR(VLOOKUP($B182,'Base de datos'!$A$3:$K$24,11,FALSE),""))="NO",ISNUMBER(SEARCH("no sometida",IFERROR(VLOOKUP($B182,'Base de datos'!$A$3:$K$24,10,FALSE),""))),ISNUMBER(SEARCH("no fiscal",IFERROR(VLOOKUP($B182,'Base de datos'!$A$3:$K$24,10,FALSE),"")))),OR(ISNUMBER(SEARCH("Hach",$B182)),ISNUMBER(SEARCH("Ketamina",$B182))),AND(IFERROR(VLOOKUP($B182,'Base de datos'!$A$3:$K$24,9,FALSE),"")&lt;&gt;"",IFERROR(VLOOKUP($B182,'Base de datos'!$A$3:$K$24,9,FALSE),"")&lt;&gt;0)),"",IFERROR($E182*$C182/$I182,""))</f>
        <v/>
      </c>
      <c r="N182" s="6" t="str">
        <f>IF(OR(OR(UPPER(IFERROR(VLOOKUP($B182,'Base de datos'!$A$3:$K$24,11,FALSE),""))="NO",ISNUMBER(SEARCH("no sometida",IFERROR(VLOOKUP($B182,'Base de datos'!$A$3:$K$24,10,FALSE),""))),ISNUMBER(SEARCH("no fiscal",IFERROR(VLOOKUP($B182,'Base de datos'!$A$3:$K$24,10,FALSE),"")))),OR(ISNUMBER(SEARCH("Hach",$B182)),ISNUMBER(SEARCH("Ketamina",$B182))),AND(IFERROR(VLOOKUP($B182,'Base de datos'!$A$3:$K$24,9,FALSE),"")&lt;&gt;"",IFERROR(VLOOKUP($B182,'Base de datos'!$A$3:$K$24,9,FALSE),"")&lt;&gt;0)),"",IFERROR($E182*$C182/IFERROR(VLOOKUP($B182,'Base de datos'!$A$3:$K$24,5,FALSE),0),""))</f>
        <v/>
      </c>
      <c r="O182" s="6" t="str">
        <f>IF(OR(OR(UPPER(IFERROR(VLOOKUP($B182,'Base de datos'!$A$3:$K$24,11,FALSE),""))="NO",ISNUMBER(SEARCH("no sometida",IFERROR(VLOOKUP($B182,'Base de datos'!$A$3:$K$24,10,FALSE),""))),ISNUMBER(SEARCH("no fiscal",IFERROR(VLOOKUP($B182,'Base de datos'!$A$3:$K$24,10,FALSE),"")))),OR(ISNUMBER(SEARCH("Hach",$B182)),ISNUMBER(SEARCH("Ketamina",$B182))),AND(IFERROR(VLOOKUP($B182,'Base de datos'!$A$3:$K$24,9,FALSE),"")&lt;&gt;"",IFERROR(VLOOKUP($B182,'Base de datos'!$A$3:$K$24,9,FALSE),"")&lt;&gt;0)),"",IFERROR((($E182*$C182/IFERROR(VLOOKUP($B182,'Base de datos'!$A$3:$K$24,3,FALSE),0))*1000)/IFERROR(VLOOKUP($B182,'Base de datos'!$A$3:$K$24,2,FALSE),0),""))</f>
        <v/>
      </c>
    </row>
    <row r="183" spans="1:15" x14ac:dyDescent="0.25">
      <c r="A183" s="4"/>
      <c r="B183" s="4"/>
      <c r="C183" s="5" t="str">
        <f>IFERROR(VLOOKUP($B183,'Base de datos'!$A$3:$K$24,3,FALSE),"")</f>
        <v/>
      </c>
      <c r="D183" s="4" t="str">
        <f t="shared" si="5"/>
        <v/>
      </c>
      <c r="E183" s="6"/>
      <c r="F183" s="7" t="str">
        <f>IF($B183="","",IF(OR(UPPER(IFERROR(VLOOKUP($B183,'Base de datos'!$A$3:$K$24,11,FALSE),""))="NO",ISNUMBER(SEARCH("no sometida",IFERROR(VLOOKUP($B183,'Base de datos'!$A$3:$K$24,10,FALSE),""))),ISNUMBER(SEARCH("no fiscal",IFERROR(VLOOKUP($B183,'Base de datos'!$A$3:$K$24,10,FALSE),"")))),"",IF(OR(OR(ISNUMBER(SEARCH("Hach",$B183)),ISNUMBER(SEARCH("Ketamina",$B183))),AND(IFERROR(VLOOKUP($B183,'Base de datos'!$A$3:$K$24,9,FALSE),"")&lt;&gt;"",IFERROR(VLOOKUP($B183,'Base de datos'!$A$3:$K$24,9,FALSE),"")&lt;&gt;0)),"",IFERROR($M183*VLOOKUP($B183,'Base de datos'!$A$3:$K$24,8,FALSE)/1000,""))))</f>
        <v/>
      </c>
      <c r="G183" s="7" t="str">
        <f>IF($B183="","",IF(OR(UPPER(IFERROR(VLOOKUP($B183,'Base de datos'!$A$3:$K$24,11,FALSE),""))="NO",ISNUMBER(SEARCH("no sometida",IFERROR(VLOOKUP($B183,'Base de datos'!$A$3:$K$24,10,FALSE),""))),ISNUMBER(SEARCH("no fiscal",IFERROR(VLOOKUP($B183,'Base de datos'!$A$3:$K$24,10,FALSE),"")))),"",IFERROR(IF(OR(ISNUMBER(SEARCH("Hach",$B183)),ISNUMBER(SEARCH("Ketamina",$B183))),IF(VLOOKUP($B183,'Base de datos'!$A$3:$K$24,6,FALSE)="","",$E183*VLOOKUP($B183,'Base de datos'!$A$3:$K$24,6,FALSE)),IF(AND(IFERROR(VLOOKUP($B183,'Base de datos'!$A$3:$K$24,9,FALSE),"")&lt;&gt;"",IFERROR(VLOOKUP($B183,'Base de datos'!$A$3:$K$24,9,FALSE),"")&lt;&gt;0),"",IF(VLOOKUP($B183,'Base de datos'!$A$3:$K$24,6,FALSE)="","",$N183*VLOOKUP($B183,'Base de datos'!$A$3:$K$24,6,FALSE)))),"")))</f>
        <v/>
      </c>
      <c r="H183" s="7" t="str">
        <f>IF($B183="","",IF(OR(UPPER(IFERROR(VLOOKUP($B183,'Base de datos'!$A$3:$K$24,11,FALSE),""))="NO",ISNUMBER(SEARCH("no sometida",IFERROR(VLOOKUP($B183,'Base de datos'!$A$3:$K$24,10,FALSE),""))),ISNUMBER(SEARCH("no fiscal",IFERROR(VLOOKUP($B183,'Base de datos'!$A$3:$K$24,10,FALSE),"")))),"",IF(OR(ISNUMBER(SEARCH("Hach",$B183)),ISNUMBER(SEARCH("Ketamina",$B183))),"",IF(AND(IFERROR(VLOOKUP($B183,'Base de datos'!$A$3:$K$24,9,FALSE),"")&lt;&gt;"",IFERROR(VLOOKUP($B183,'Base de datos'!$A$3:$K$24,9,FALSE),"")&lt;&gt;0),$E183*IFERROR(VLOOKUP($B183,'Base de datos'!$A$3:$K$24,9,FALSE),""),IFERROR($O183*VLOOKUP($B183,'Base de datos'!$A$3:$K$24,4,FALSE),"")))))</f>
        <v/>
      </c>
      <c r="I183" s="5" t="str">
        <f>IFERROR(VLOOKUP($B183,'Base de datos'!$A$3:$K$24,7,FALSE),"")</f>
        <v/>
      </c>
      <c r="J183" s="13" t="str">
        <f>IFERROR(VLOOKUP($B183,'Base de datos'!$A$3:$K$24,10,FALSE),"")</f>
        <v/>
      </c>
      <c r="K183" s="6"/>
      <c r="L183" s="4"/>
      <c r="M183" s="6" t="str">
        <f>IF(OR(OR(UPPER(IFERROR(VLOOKUP($B183,'Base de datos'!$A$3:$K$24,11,FALSE),""))="NO",ISNUMBER(SEARCH("no sometida",IFERROR(VLOOKUP($B183,'Base de datos'!$A$3:$K$24,10,FALSE),""))),ISNUMBER(SEARCH("no fiscal",IFERROR(VLOOKUP($B183,'Base de datos'!$A$3:$K$24,10,FALSE),"")))),OR(ISNUMBER(SEARCH("Hach",$B183)),ISNUMBER(SEARCH("Ketamina",$B183))),AND(IFERROR(VLOOKUP($B183,'Base de datos'!$A$3:$K$24,9,FALSE),"")&lt;&gt;"",IFERROR(VLOOKUP($B183,'Base de datos'!$A$3:$K$24,9,FALSE),"")&lt;&gt;0)),"",IFERROR($E183*$C183/$I183,""))</f>
        <v/>
      </c>
      <c r="N183" s="6" t="str">
        <f>IF(OR(OR(UPPER(IFERROR(VLOOKUP($B183,'Base de datos'!$A$3:$K$24,11,FALSE),""))="NO",ISNUMBER(SEARCH("no sometida",IFERROR(VLOOKUP($B183,'Base de datos'!$A$3:$K$24,10,FALSE),""))),ISNUMBER(SEARCH("no fiscal",IFERROR(VLOOKUP($B183,'Base de datos'!$A$3:$K$24,10,FALSE),"")))),OR(ISNUMBER(SEARCH("Hach",$B183)),ISNUMBER(SEARCH("Ketamina",$B183))),AND(IFERROR(VLOOKUP($B183,'Base de datos'!$A$3:$K$24,9,FALSE),"")&lt;&gt;"",IFERROR(VLOOKUP($B183,'Base de datos'!$A$3:$K$24,9,FALSE),"")&lt;&gt;0)),"",IFERROR($E183*$C183/IFERROR(VLOOKUP($B183,'Base de datos'!$A$3:$K$24,5,FALSE),0),""))</f>
        <v/>
      </c>
      <c r="O183" s="6" t="str">
        <f>IF(OR(OR(UPPER(IFERROR(VLOOKUP($B183,'Base de datos'!$A$3:$K$24,11,FALSE),""))="NO",ISNUMBER(SEARCH("no sometida",IFERROR(VLOOKUP($B183,'Base de datos'!$A$3:$K$24,10,FALSE),""))),ISNUMBER(SEARCH("no fiscal",IFERROR(VLOOKUP($B183,'Base de datos'!$A$3:$K$24,10,FALSE),"")))),OR(ISNUMBER(SEARCH("Hach",$B183)),ISNUMBER(SEARCH("Ketamina",$B183))),AND(IFERROR(VLOOKUP($B183,'Base de datos'!$A$3:$K$24,9,FALSE),"")&lt;&gt;"",IFERROR(VLOOKUP($B183,'Base de datos'!$A$3:$K$24,9,FALSE),"")&lt;&gt;0)),"",IFERROR((($E183*$C183/IFERROR(VLOOKUP($B183,'Base de datos'!$A$3:$K$24,3,FALSE),0))*1000)/IFERROR(VLOOKUP($B183,'Base de datos'!$A$3:$K$24,2,FALSE),0),""))</f>
        <v/>
      </c>
    </row>
    <row r="184" spans="1:15" x14ac:dyDescent="0.25">
      <c r="A184" s="4"/>
      <c r="B184" s="4"/>
      <c r="C184" s="5" t="str">
        <f>IFERROR(VLOOKUP($B184,'Base de datos'!$A$3:$K$24,3,FALSE),"")</f>
        <v/>
      </c>
      <c r="D184" s="4" t="str">
        <f t="shared" si="5"/>
        <v/>
      </c>
      <c r="E184" s="6"/>
      <c r="F184" s="7" t="str">
        <f>IF($B184="","",IF(OR(UPPER(IFERROR(VLOOKUP($B184,'Base de datos'!$A$3:$K$24,11,FALSE),""))="NO",ISNUMBER(SEARCH("no sometida",IFERROR(VLOOKUP($B184,'Base de datos'!$A$3:$K$24,10,FALSE),""))),ISNUMBER(SEARCH("no fiscal",IFERROR(VLOOKUP($B184,'Base de datos'!$A$3:$K$24,10,FALSE),"")))),"",IF(OR(OR(ISNUMBER(SEARCH("Hach",$B184)),ISNUMBER(SEARCH("Ketamina",$B184))),AND(IFERROR(VLOOKUP($B184,'Base de datos'!$A$3:$K$24,9,FALSE),"")&lt;&gt;"",IFERROR(VLOOKUP($B184,'Base de datos'!$A$3:$K$24,9,FALSE),"")&lt;&gt;0)),"",IFERROR($M184*VLOOKUP($B184,'Base de datos'!$A$3:$K$24,8,FALSE)/1000,""))))</f>
        <v/>
      </c>
      <c r="G184" s="7" t="str">
        <f>IF($B184="","",IF(OR(UPPER(IFERROR(VLOOKUP($B184,'Base de datos'!$A$3:$K$24,11,FALSE),""))="NO",ISNUMBER(SEARCH("no sometida",IFERROR(VLOOKUP($B184,'Base de datos'!$A$3:$K$24,10,FALSE),""))),ISNUMBER(SEARCH("no fiscal",IFERROR(VLOOKUP($B184,'Base de datos'!$A$3:$K$24,10,FALSE),"")))),"",IFERROR(IF(OR(ISNUMBER(SEARCH("Hach",$B184)),ISNUMBER(SEARCH("Ketamina",$B184))),IF(VLOOKUP($B184,'Base de datos'!$A$3:$K$24,6,FALSE)="","",$E184*VLOOKUP($B184,'Base de datos'!$A$3:$K$24,6,FALSE)),IF(AND(IFERROR(VLOOKUP($B184,'Base de datos'!$A$3:$K$24,9,FALSE),"")&lt;&gt;"",IFERROR(VLOOKUP($B184,'Base de datos'!$A$3:$K$24,9,FALSE),"")&lt;&gt;0),"",IF(VLOOKUP($B184,'Base de datos'!$A$3:$K$24,6,FALSE)="","",$N184*VLOOKUP($B184,'Base de datos'!$A$3:$K$24,6,FALSE)))),"")))</f>
        <v/>
      </c>
      <c r="H184" s="7" t="str">
        <f>IF($B184="","",IF(OR(UPPER(IFERROR(VLOOKUP($B184,'Base de datos'!$A$3:$K$24,11,FALSE),""))="NO",ISNUMBER(SEARCH("no sometida",IFERROR(VLOOKUP($B184,'Base de datos'!$A$3:$K$24,10,FALSE),""))),ISNUMBER(SEARCH("no fiscal",IFERROR(VLOOKUP($B184,'Base de datos'!$A$3:$K$24,10,FALSE),"")))),"",IF(OR(ISNUMBER(SEARCH("Hach",$B184)),ISNUMBER(SEARCH("Ketamina",$B184))),"",IF(AND(IFERROR(VLOOKUP($B184,'Base de datos'!$A$3:$K$24,9,FALSE),"")&lt;&gt;"",IFERROR(VLOOKUP($B184,'Base de datos'!$A$3:$K$24,9,FALSE),"")&lt;&gt;0),$E184*IFERROR(VLOOKUP($B184,'Base de datos'!$A$3:$K$24,9,FALSE),""),IFERROR($O184*VLOOKUP($B184,'Base de datos'!$A$3:$K$24,4,FALSE),"")))))</f>
        <v/>
      </c>
      <c r="I184" s="5" t="str">
        <f>IFERROR(VLOOKUP($B184,'Base de datos'!$A$3:$K$24,7,FALSE),"")</f>
        <v/>
      </c>
      <c r="J184" s="13" t="str">
        <f>IFERROR(VLOOKUP($B184,'Base de datos'!$A$3:$K$24,10,FALSE),"")</f>
        <v/>
      </c>
      <c r="K184" s="6"/>
      <c r="L184" s="4"/>
      <c r="M184" s="6" t="str">
        <f>IF(OR(OR(UPPER(IFERROR(VLOOKUP($B184,'Base de datos'!$A$3:$K$24,11,FALSE),""))="NO",ISNUMBER(SEARCH("no sometida",IFERROR(VLOOKUP($B184,'Base de datos'!$A$3:$K$24,10,FALSE),""))),ISNUMBER(SEARCH("no fiscal",IFERROR(VLOOKUP($B184,'Base de datos'!$A$3:$K$24,10,FALSE),"")))),OR(ISNUMBER(SEARCH("Hach",$B184)),ISNUMBER(SEARCH("Ketamina",$B184))),AND(IFERROR(VLOOKUP($B184,'Base de datos'!$A$3:$K$24,9,FALSE),"")&lt;&gt;"",IFERROR(VLOOKUP($B184,'Base de datos'!$A$3:$K$24,9,FALSE),"")&lt;&gt;0)),"",IFERROR($E184*$C184/$I184,""))</f>
        <v/>
      </c>
      <c r="N184" s="6" t="str">
        <f>IF(OR(OR(UPPER(IFERROR(VLOOKUP($B184,'Base de datos'!$A$3:$K$24,11,FALSE),""))="NO",ISNUMBER(SEARCH("no sometida",IFERROR(VLOOKUP($B184,'Base de datos'!$A$3:$K$24,10,FALSE),""))),ISNUMBER(SEARCH("no fiscal",IFERROR(VLOOKUP($B184,'Base de datos'!$A$3:$K$24,10,FALSE),"")))),OR(ISNUMBER(SEARCH("Hach",$B184)),ISNUMBER(SEARCH("Ketamina",$B184))),AND(IFERROR(VLOOKUP($B184,'Base de datos'!$A$3:$K$24,9,FALSE),"")&lt;&gt;"",IFERROR(VLOOKUP($B184,'Base de datos'!$A$3:$K$24,9,FALSE),"")&lt;&gt;0)),"",IFERROR($E184*$C184/IFERROR(VLOOKUP($B184,'Base de datos'!$A$3:$K$24,5,FALSE),0),""))</f>
        <v/>
      </c>
      <c r="O184" s="6" t="str">
        <f>IF(OR(OR(UPPER(IFERROR(VLOOKUP($B184,'Base de datos'!$A$3:$K$24,11,FALSE),""))="NO",ISNUMBER(SEARCH("no sometida",IFERROR(VLOOKUP($B184,'Base de datos'!$A$3:$K$24,10,FALSE),""))),ISNUMBER(SEARCH("no fiscal",IFERROR(VLOOKUP($B184,'Base de datos'!$A$3:$K$24,10,FALSE),"")))),OR(ISNUMBER(SEARCH("Hach",$B184)),ISNUMBER(SEARCH("Ketamina",$B184))),AND(IFERROR(VLOOKUP($B184,'Base de datos'!$A$3:$K$24,9,FALSE),"")&lt;&gt;"",IFERROR(VLOOKUP($B184,'Base de datos'!$A$3:$K$24,9,FALSE),"")&lt;&gt;0)),"",IFERROR((($E184*$C184/IFERROR(VLOOKUP($B184,'Base de datos'!$A$3:$K$24,3,FALSE),0))*1000)/IFERROR(VLOOKUP($B184,'Base de datos'!$A$3:$K$24,2,FALSE),0),""))</f>
        <v/>
      </c>
    </row>
    <row r="185" spans="1:15" x14ac:dyDescent="0.25">
      <c r="A185" s="4"/>
      <c r="B185" s="4"/>
      <c r="C185" s="5" t="str">
        <f>IFERROR(VLOOKUP($B185,'Base de datos'!$A$3:$K$24,3,FALSE),"")</f>
        <v/>
      </c>
      <c r="D185" s="4" t="str">
        <f t="shared" si="5"/>
        <v/>
      </c>
      <c r="E185" s="6"/>
      <c r="F185" s="7" t="str">
        <f>IF($B185="","",IF(OR(UPPER(IFERROR(VLOOKUP($B185,'Base de datos'!$A$3:$K$24,11,FALSE),""))="NO",ISNUMBER(SEARCH("no sometida",IFERROR(VLOOKUP($B185,'Base de datos'!$A$3:$K$24,10,FALSE),""))),ISNUMBER(SEARCH("no fiscal",IFERROR(VLOOKUP($B185,'Base de datos'!$A$3:$K$24,10,FALSE),"")))),"",IF(OR(OR(ISNUMBER(SEARCH("Hach",$B185)),ISNUMBER(SEARCH("Ketamina",$B185))),AND(IFERROR(VLOOKUP($B185,'Base de datos'!$A$3:$K$24,9,FALSE),"")&lt;&gt;"",IFERROR(VLOOKUP($B185,'Base de datos'!$A$3:$K$24,9,FALSE),"")&lt;&gt;0)),"",IFERROR($M185*VLOOKUP($B185,'Base de datos'!$A$3:$K$24,8,FALSE)/1000,""))))</f>
        <v/>
      </c>
      <c r="G185" s="7" t="str">
        <f>IF($B185="","",IF(OR(UPPER(IFERROR(VLOOKUP($B185,'Base de datos'!$A$3:$K$24,11,FALSE),""))="NO",ISNUMBER(SEARCH("no sometida",IFERROR(VLOOKUP($B185,'Base de datos'!$A$3:$K$24,10,FALSE),""))),ISNUMBER(SEARCH("no fiscal",IFERROR(VLOOKUP($B185,'Base de datos'!$A$3:$K$24,10,FALSE),"")))),"",IFERROR(IF(OR(ISNUMBER(SEARCH("Hach",$B185)),ISNUMBER(SEARCH("Ketamina",$B185))),IF(VLOOKUP($B185,'Base de datos'!$A$3:$K$24,6,FALSE)="","",$E185*VLOOKUP($B185,'Base de datos'!$A$3:$K$24,6,FALSE)),IF(AND(IFERROR(VLOOKUP($B185,'Base de datos'!$A$3:$K$24,9,FALSE),"")&lt;&gt;"",IFERROR(VLOOKUP($B185,'Base de datos'!$A$3:$K$24,9,FALSE),"")&lt;&gt;0),"",IF(VLOOKUP($B185,'Base de datos'!$A$3:$K$24,6,FALSE)="","",$N185*VLOOKUP($B185,'Base de datos'!$A$3:$K$24,6,FALSE)))),"")))</f>
        <v/>
      </c>
      <c r="H185" s="7" t="str">
        <f>IF($B185="","",IF(OR(UPPER(IFERROR(VLOOKUP($B185,'Base de datos'!$A$3:$K$24,11,FALSE),""))="NO",ISNUMBER(SEARCH("no sometida",IFERROR(VLOOKUP($B185,'Base de datos'!$A$3:$K$24,10,FALSE),""))),ISNUMBER(SEARCH("no fiscal",IFERROR(VLOOKUP($B185,'Base de datos'!$A$3:$K$24,10,FALSE),"")))),"",IF(OR(ISNUMBER(SEARCH("Hach",$B185)),ISNUMBER(SEARCH("Ketamina",$B185))),"",IF(AND(IFERROR(VLOOKUP($B185,'Base de datos'!$A$3:$K$24,9,FALSE),"")&lt;&gt;"",IFERROR(VLOOKUP($B185,'Base de datos'!$A$3:$K$24,9,FALSE),"")&lt;&gt;0),$E185*IFERROR(VLOOKUP($B185,'Base de datos'!$A$3:$K$24,9,FALSE),""),IFERROR($O185*VLOOKUP($B185,'Base de datos'!$A$3:$K$24,4,FALSE),"")))))</f>
        <v/>
      </c>
      <c r="I185" s="5" t="str">
        <f>IFERROR(VLOOKUP($B185,'Base de datos'!$A$3:$K$24,7,FALSE),"")</f>
        <v/>
      </c>
      <c r="J185" s="13" t="str">
        <f>IFERROR(VLOOKUP($B185,'Base de datos'!$A$3:$K$24,10,FALSE),"")</f>
        <v/>
      </c>
      <c r="K185" s="6"/>
      <c r="L185" s="4"/>
      <c r="M185" s="6" t="str">
        <f>IF(OR(OR(UPPER(IFERROR(VLOOKUP($B185,'Base de datos'!$A$3:$K$24,11,FALSE),""))="NO",ISNUMBER(SEARCH("no sometida",IFERROR(VLOOKUP($B185,'Base de datos'!$A$3:$K$24,10,FALSE),""))),ISNUMBER(SEARCH("no fiscal",IFERROR(VLOOKUP($B185,'Base de datos'!$A$3:$K$24,10,FALSE),"")))),OR(ISNUMBER(SEARCH("Hach",$B185)),ISNUMBER(SEARCH("Ketamina",$B185))),AND(IFERROR(VLOOKUP($B185,'Base de datos'!$A$3:$K$24,9,FALSE),"")&lt;&gt;"",IFERROR(VLOOKUP($B185,'Base de datos'!$A$3:$K$24,9,FALSE),"")&lt;&gt;0)),"",IFERROR($E185*$C185/$I185,""))</f>
        <v/>
      </c>
      <c r="N185" s="6" t="str">
        <f>IF(OR(OR(UPPER(IFERROR(VLOOKUP($B185,'Base de datos'!$A$3:$K$24,11,FALSE),""))="NO",ISNUMBER(SEARCH("no sometida",IFERROR(VLOOKUP($B185,'Base de datos'!$A$3:$K$24,10,FALSE),""))),ISNUMBER(SEARCH("no fiscal",IFERROR(VLOOKUP($B185,'Base de datos'!$A$3:$K$24,10,FALSE),"")))),OR(ISNUMBER(SEARCH("Hach",$B185)),ISNUMBER(SEARCH("Ketamina",$B185))),AND(IFERROR(VLOOKUP($B185,'Base de datos'!$A$3:$K$24,9,FALSE),"")&lt;&gt;"",IFERROR(VLOOKUP($B185,'Base de datos'!$A$3:$K$24,9,FALSE),"")&lt;&gt;0)),"",IFERROR($E185*$C185/IFERROR(VLOOKUP($B185,'Base de datos'!$A$3:$K$24,5,FALSE),0),""))</f>
        <v/>
      </c>
      <c r="O185" s="6" t="str">
        <f>IF(OR(OR(UPPER(IFERROR(VLOOKUP($B185,'Base de datos'!$A$3:$K$24,11,FALSE),""))="NO",ISNUMBER(SEARCH("no sometida",IFERROR(VLOOKUP($B185,'Base de datos'!$A$3:$K$24,10,FALSE),""))),ISNUMBER(SEARCH("no fiscal",IFERROR(VLOOKUP($B185,'Base de datos'!$A$3:$K$24,10,FALSE),"")))),OR(ISNUMBER(SEARCH("Hach",$B185)),ISNUMBER(SEARCH("Ketamina",$B185))),AND(IFERROR(VLOOKUP($B185,'Base de datos'!$A$3:$K$24,9,FALSE),"")&lt;&gt;"",IFERROR(VLOOKUP($B185,'Base de datos'!$A$3:$K$24,9,FALSE),"")&lt;&gt;0)),"",IFERROR((($E185*$C185/IFERROR(VLOOKUP($B185,'Base de datos'!$A$3:$K$24,3,FALSE),0))*1000)/IFERROR(VLOOKUP($B185,'Base de datos'!$A$3:$K$24,2,FALSE),0),""))</f>
        <v/>
      </c>
    </row>
    <row r="186" spans="1:15" x14ac:dyDescent="0.25">
      <c r="A186" s="4"/>
      <c r="B186" s="4"/>
      <c r="C186" s="5" t="str">
        <f>IFERROR(VLOOKUP($B186,'Base de datos'!$A$3:$K$24,3,FALSE),"")</f>
        <v/>
      </c>
      <c r="D186" s="4" t="str">
        <f t="shared" si="5"/>
        <v/>
      </c>
      <c r="E186" s="6"/>
      <c r="F186" s="7" t="str">
        <f>IF($B186="","",IF(OR(UPPER(IFERROR(VLOOKUP($B186,'Base de datos'!$A$3:$K$24,11,FALSE),""))="NO",ISNUMBER(SEARCH("no sometida",IFERROR(VLOOKUP($B186,'Base de datos'!$A$3:$K$24,10,FALSE),""))),ISNUMBER(SEARCH("no fiscal",IFERROR(VLOOKUP($B186,'Base de datos'!$A$3:$K$24,10,FALSE),"")))),"",IF(OR(OR(ISNUMBER(SEARCH("Hach",$B186)),ISNUMBER(SEARCH("Ketamina",$B186))),AND(IFERROR(VLOOKUP($B186,'Base de datos'!$A$3:$K$24,9,FALSE),"")&lt;&gt;"",IFERROR(VLOOKUP($B186,'Base de datos'!$A$3:$K$24,9,FALSE),"")&lt;&gt;0)),"",IFERROR($M186*VLOOKUP($B186,'Base de datos'!$A$3:$K$24,8,FALSE)/1000,""))))</f>
        <v/>
      </c>
      <c r="G186" s="7" t="str">
        <f>IF($B186="","",IF(OR(UPPER(IFERROR(VLOOKUP($B186,'Base de datos'!$A$3:$K$24,11,FALSE),""))="NO",ISNUMBER(SEARCH("no sometida",IFERROR(VLOOKUP($B186,'Base de datos'!$A$3:$K$24,10,FALSE),""))),ISNUMBER(SEARCH("no fiscal",IFERROR(VLOOKUP($B186,'Base de datos'!$A$3:$K$24,10,FALSE),"")))),"",IFERROR(IF(OR(ISNUMBER(SEARCH("Hach",$B186)),ISNUMBER(SEARCH("Ketamina",$B186))),IF(VLOOKUP($B186,'Base de datos'!$A$3:$K$24,6,FALSE)="","",$E186*VLOOKUP($B186,'Base de datos'!$A$3:$K$24,6,FALSE)),IF(AND(IFERROR(VLOOKUP($B186,'Base de datos'!$A$3:$K$24,9,FALSE),"")&lt;&gt;"",IFERROR(VLOOKUP($B186,'Base de datos'!$A$3:$K$24,9,FALSE),"")&lt;&gt;0),"",IF(VLOOKUP($B186,'Base de datos'!$A$3:$K$24,6,FALSE)="","",$N186*VLOOKUP($B186,'Base de datos'!$A$3:$K$24,6,FALSE)))),"")))</f>
        <v/>
      </c>
      <c r="H186" s="7" t="str">
        <f>IF($B186="","",IF(OR(UPPER(IFERROR(VLOOKUP($B186,'Base de datos'!$A$3:$K$24,11,FALSE),""))="NO",ISNUMBER(SEARCH("no sometida",IFERROR(VLOOKUP($B186,'Base de datos'!$A$3:$K$24,10,FALSE),""))),ISNUMBER(SEARCH("no fiscal",IFERROR(VLOOKUP($B186,'Base de datos'!$A$3:$K$24,10,FALSE),"")))),"",IF(OR(ISNUMBER(SEARCH("Hach",$B186)),ISNUMBER(SEARCH("Ketamina",$B186))),"",IF(AND(IFERROR(VLOOKUP($B186,'Base de datos'!$A$3:$K$24,9,FALSE),"")&lt;&gt;"",IFERROR(VLOOKUP($B186,'Base de datos'!$A$3:$K$24,9,FALSE),"")&lt;&gt;0),$E186*IFERROR(VLOOKUP($B186,'Base de datos'!$A$3:$K$24,9,FALSE),""),IFERROR($O186*VLOOKUP($B186,'Base de datos'!$A$3:$K$24,4,FALSE),"")))))</f>
        <v/>
      </c>
      <c r="I186" s="5" t="str">
        <f>IFERROR(VLOOKUP($B186,'Base de datos'!$A$3:$K$24,7,FALSE),"")</f>
        <v/>
      </c>
      <c r="J186" s="13" t="str">
        <f>IFERROR(VLOOKUP($B186,'Base de datos'!$A$3:$K$24,10,FALSE),"")</f>
        <v/>
      </c>
      <c r="K186" s="6"/>
      <c r="L186" s="4"/>
      <c r="M186" s="6" t="str">
        <f>IF(OR(OR(UPPER(IFERROR(VLOOKUP($B186,'Base de datos'!$A$3:$K$24,11,FALSE),""))="NO",ISNUMBER(SEARCH("no sometida",IFERROR(VLOOKUP($B186,'Base de datos'!$A$3:$K$24,10,FALSE),""))),ISNUMBER(SEARCH("no fiscal",IFERROR(VLOOKUP($B186,'Base de datos'!$A$3:$K$24,10,FALSE),"")))),OR(ISNUMBER(SEARCH("Hach",$B186)),ISNUMBER(SEARCH("Ketamina",$B186))),AND(IFERROR(VLOOKUP($B186,'Base de datos'!$A$3:$K$24,9,FALSE),"")&lt;&gt;"",IFERROR(VLOOKUP($B186,'Base de datos'!$A$3:$K$24,9,FALSE),"")&lt;&gt;0)),"",IFERROR($E186*$C186/$I186,""))</f>
        <v/>
      </c>
      <c r="N186" s="6" t="str">
        <f>IF(OR(OR(UPPER(IFERROR(VLOOKUP($B186,'Base de datos'!$A$3:$K$24,11,FALSE),""))="NO",ISNUMBER(SEARCH("no sometida",IFERROR(VLOOKUP($B186,'Base de datos'!$A$3:$K$24,10,FALSE),""))),ISNUMBER(SEARCH("no fiscal",IFERROR(VLOOKUP($B186,'Base de datos'!$A$3:$K$24,10,FALSE),"")))),OR(ISNUMBER(SEARCH("Hach",$B186)),ISNUMBER(SEARCH("Ketamina",$B186))),AND(IFERROR(VLOOKUP($B186,'Base de datos'!$A$3:$K$24,9,FALSE),"")&lt;&gt;"",IFERROR(VLOOKUP($B186,'Base de datos'!$A$3:$K$24,9,FALSE),"")&lt;&gt;0)),"",IFERROR($E186*$C186/IFERROR(VLOOKUP($B186,'Base de datos'!$A$3:$K$24,5,FALSE),0),""))</f>
        <v/>
      </c>
      <c r="O186" s="6" t="str">
        <f>IF(OR(OR(UPPER(IFERROR(VLOOKUP($B186,'Base de datos'!$A$3:$K$24,11,FALSE),""))="NO",ISNUMBER(SEARCH("no sometida",IFERROR(VLOOKUP($B186,'Base de datos'!$A$3:$K$24,10,FALSE),""))),ISNUMBER(SEARCH("no fiscal",IFERROR(VLOOKUP($B186,'Base de datos'!$A$3:$K$24,10,FALSE),"")))),OR(ISNUMBER(SEARCH("Hach",$B186)),ISNUMBER(SEARCH("Ketamina",$B186))),AND(IFERROR(VLOOKUP($B186,'Base de datos'!$A$3:$K$24,9,FALSE),"")&lt;&gt;"",IFERROR(VLOOKUP($B186,'Base de datos'!$A$3:$K$24,9,FALSE),"")&lt;&gt;0)),"",IFERROR((($E186*$C186/IFERROR(VLOOKUP($B186,'Base de datos'!$A$3:$K$24,3,FALSE),0))*1000)/IFERROR(VLOOKUP($B186,'Base de datos'!$A$3:$K$24,2,FALSE),0),""))</f>
        <v/>
      </c>
    </row>
    <row r="187" spans="1:15" x14ac:dyDescent="0.25">
      <c r="A187" s="4"/>
      <c r="B187" s="4"/>
      <c r="C187" s="5" t="str">
        <f>IFERROR(VLOOKUP($B187,'Base de datos'!$A$3:$K$24,3,FALSE),"")</f>
        <v/>
      </c>
      <c r="D187" s="4" t="str">
        <f t="shared" si="5"/>
        <v/>
      </c>
      <c r="E187" s="6"/>
      <c r="F187" s="7" t="str">
        <f>IF($B187="","",IF(OR(UPPER(IFERROR(VLOOKUP($B187,'Base de datos'!$A$3:$K$24,11,FALSE),""))="NO",ISNUMBER(SEARCH("no sometida",IFERROR(VLOOKUP($B187,'Base de datos'!$A$3:$K$24,10,FALSE),""))),ISNUMBER(SEARCH("no fiscal",IFERROR(VLOOKUP($B187,'Base de datos'!$A$3:$K$24,10,FALSE),"")))),"",IF(OR(OR(ISNUMBER(SEARCH("Hach",$B187)),ISNUMBER(SEARCH("Ketamina",$B187))),AND(IFERROR(VLOOKUP($B187,'Base de datos'!$A$3:$K$24,9,FALSE),"")&lt;&gt;"",IFERROR(VLOOKUP($B187,'Base de datos'!$A$3:$K$24,9,FALSE),"")&lt;&gt;0)),"",IFERROR($M187*VLOOKUP($B187,'Base de datos'!$A$3:$K$24,8,FALSE)/1000,""))))</f>
        <v/>
      </c>
      <c r="G187" s="7" t="str">
        <f>IF($B187="","",IF(OR(UPPER(IFERROR(VLOOKUP($B187,'Base de datos'!$A$3:$K$24,11,FALSE),""))="NO",ISNUMBER(SEARCH("no sometida",IFERROR(VLOOKUP($B187,'Base de datos'!$A$3:$K$24,10,FALSE),""))),ISNUMBER(SEARCH("no fiscal",IFERROR(VLOOKUP($B187,'Base de datos'!$A$3:$K$24,10,FALSE),"")))),"",IFERROR(IF(OR(ISNUMBER(SEARCH("Hach",$B187)),ISNUMBER(SEARCH("Ketamina",$B187))),IF(VLOOKUP($B187,'Base de datos'!$A$3:$K$24,6,FALSE)="","",$E187*VLOOKUP($B187,'Base de datos'!$A$3:$K$24,6,FALSE)),IF(AND(IFERROR(VLOOKUP($B187,'Base de datos'!$A$3:$K$24,9,FALSE),"")&lt;&gt;"",IFERROR(VLOOKUP($B187,'Base de datos'!$A$3:$K$24,9,FALSE),"")&lt;&gt;0),"",IF(VLOOKUP($B187,'Base de datos'!$A$3:$K$24,6,FALSE)="","",$N187*VLOOKUP($B187,'Base de datos'!$A$3:$K$24,6,FALSE)))),"")))</f>
        <v/>
      </c>
      <c r="H187" s="7" t="str">
        <f>IF($B187="","",IF(OR(UPPER(IFERROR(VLOOKUP($B187,'Base de datos'!$A$3:$K$24,11,FALSE),""))="NO",ISNUMBER(SEARCH("no sometida",IFERROR(VLOOKUP($B187,'Base de datos'!$A$3:$K$24,10,FALSE),""))),ISNUMBER(SEARCH("no fiscal",IFERROR(VLOOKUP($B187,'Base de datos'!$A$3:$K$24,10,FALSE),"")))),"",IF(OR(ISNUMBER(SEARCH("Hach",$B187)),ISNUMBER(SEARCH("Ketamina",$B187))),"",IF(AND(IFERROR(VLOOKUP($B187,'Base de datos'!$A$3:$K$24,9,FALSE),"")&lt;&gt;"",IFERROR(VLOOKUP($B187,'Base de datos'!$A$3:$K$24,9,FALSE),"")&lt;&gt;0),$E187*IFERROR(VLOOKUP($B187,'Base de datos'!$A$3:$K$24,9,FALSE),""),IFERROR($O187*VLOOKUP($B187,'Base de datos'!$A$3:$K$24,4,FALSE),"")))))</f>
        <v/>
      </c>
      <c r="I187" s="5" t="str">
        <f>IFERROR(VLOOKUP($B187,'Base de datos'!$A$3:$K$24,7,FALSE),"")</f>
        <v/>
      </c>
      <c r="J187" s="13" t="str">
        <f>IFERROR(VLOOKUP($B187,'Base de datos'!$A$3:$K$24,10,FALSE),"")</f>
        <v/>
      </c>
      <c r="K187" s="6"/>
      <c r="L187" s="4"/>
      <c r="M187" s="6" t="str">
        <f>IF(OR(OR(UPPER(IFERROR(VLOOKUP($B187,'Base de datos'!$A$3:$K$24,11,FALSE),""))="NO",ISNUMBER(SEARCH("no sometida",IFERROR(VLOOKUP($B187,'Base de datos'!$A$3:$K$24,10,FALSE),""))),ISNUMBER(SEARCH("no fiscal",IFERROR(VLOOKUP($B187,'Base de datos'!$A$3:$K$24,10,FALSE),"")))),OR(ISNUMBER(SEARCH("Hach",$B187)),ISNUMBER(SEARCH("Ketamina",$B187))),AND(IFERROR(VLOOKUP($B187,'Base de datos'!$A$3:$K$24,9,FALSE),"")&lt;&gt;"",IFERROR(VLOOKUP($B187,'Base de datos'!$A$3:$K$24,9,FALSE),"")&lt;&gt;0)),"",IFERROR($E187*$C187/$I187,""))</f>
        <v/>
      </c>
      <c r="N187" s="6" t="str">
        <f>IF(OR(OR(UPPER(IFERROR(VLOOKUP($B187,'Base de datos'!$A$3:$K$24,11,FALSE),""))="NO",ISNUMBER(SEARCH("no sometida",IFERROR(VLOOKUP($B187,'Base de datos'!$A$3:$K$24,10,FALSE),""))),ISNUMBER(SEARCH("no fiscal",IFERROR(VLOOKUP($B187,'Base de datos'!$A$3:$K$24,10,FALSE),"")))),OR(ISNUMBER(SEARCH("Hach",$B187)),ISNUMBER(SEARCH("Ketamina",$B187))),AND(IFERROR(VLOOKUP($B187,'Base de datos'!$A$3:$K$24,9,FALSE),"")&lt;&gt;"",IFERROR(VLOOKUP($B187,'Base de datos'!$A$3:$K$24,9,FALSE),"")&lt;&gt;0)),"",IFERROR($E187*$C187/IFERROR(VLOOKUP($B187,'Base de datos'!$A$3:$K$24,5,FALSE),0),""))</f>
        <v/>
      </c>
      <c r="O187" s="6" t="str">
        <f>IF(OR(OR(UPPER(IFERROR(VLOOKUP($B187,'Base de datos'!$A$3:$K$24,11,FALSE),""))="NO",ISNUMBER(SEARCH("no sometida",IFERROR(VLOOKUP($B187,'Base de datos'!$A$3:$K$24,10,FALSE),""))),ISNUMBER(SEARCH("no fiscal",IFERROR(VLOOKUP($B187,'Base de datos'!$A$3:$K$24,10,FALSE),"")))),OR(ISNUMBER(SEARCH("Hach",$B187)),ISNUMBER(SEARCH("Ketamina",$B187))),AND(IFERROR(VLOOKUP($B187,'Base de datos'!$A$3:$K$24,9,FALSE),"")&lt;&gt;"",IFERROR(VLOOKUP($B187,'Base de datos'!$A$3:$K$24,9,FALSE),"")&lt;&gt;0)),"",IFERROR((($E187*$C187/IFERROR(VLOOKUP($B187,'Base de datos'!$A$3:$K$24,3,FALSE),0))*1000)/IFERROR(VLOOKUP($B187,'Base de datos'!$A$3:$K$24,2,FALSE),0),""))</f>
        <v/>
      </c>
    </row>
    <row r="188" spans="1:15" x14ac:dyDescent="0.25">
      <c r="A188" s="4"/>
      <c r="B188" s="4"/>
      <c r="C188" s="5" t="str">
        <f>IFERROR(VLOOKUP($B188,'Base de datos'!$A$3:$K$24,3,FALSE),"")</f>
        <v/>
      </c>
      <c r="D188" s="4" t="str">
        <f t="shared" si="5"/>
        <v/>
      </c>
      <c r="E188" s="6"/>
      <c r="F188" s="7" t="str">
        <f>IF($B188="","",IF(OR(UPPER(IFERROR(VLOOKUP($B188,'Base de datos'!$A$3:$K$24,11,FALSE),""))="NO",ISNUMBER(SEARCH("no sometida",IFERROR(VLOOKUP($B188,'Base de datos'!$A$3:$K$24,10,FALSE),""))),ISNUMBER(SEARCH("no fiscal",IFERROR(VLOOKUP($B188,'Base de datos'!$A$3:$K$24,10,FALSE),"")))),"",IF(OR(OR(ISNUMBER(SEARCH("Hach",$B188)),ISNUMBER(SEARCH("Ketamina",$B188))),AND(IFERROR(VLOOKUP($B188,'Base de datos'!$A$3:$K$24,9,FALSE),"")&lt;&gt;"",IFERROR(VLOOKUP($B188,'Base de datos'!$A$3:$K$24,9,FALSE),"")&lt;&gt;0)),"",IFERROR($M188*VLOOKUP($B188,'Base de datos'!$A$3:$K$24,8,FALSE)/1000,""))))</f>
        <v/>
      </c>
      <c r="G188" s="7" t="str">
        <f>IF($B188="","",IF(OR(UPPER(IFERROR(VLOOKUP($B188,'Base de datos'!$A$3:$K$24,11,FALSE),""))="NO",ISNUMBER(SEARCH("no sometida",IFERROR(VLOOKUP($B188,'Base de datos'!$A$3:$K$24,10,FALSE),""))),ISNUMBER(SEARCH("no fiscal",IFERROR(VLOOKUP($B188,'Base de datos'!$A$3:$K$24,10,FALSE),"")))),"",IFERROR(IF(OR(ISNUMBER(SEARCH("Hach",$B188)),ISNUMBER(SEARCH("Ketamina",$B188))),IF(VLOOKUP($B188,'Base de datos'!$A$3:$K$24,6,FALSE)="","",$E188*VLOOKUP($B188,'Base de datos'!$A$3:$K$24,6,FALSE)),IF(AND(IFERROR(VLOOKUP($B188,'Base de datos'!$A$3:$K$24,9,FALSE),"")&lt;&gt;"",IFERROR(VLOOKUP($B188,'Base de datos'!$A$3:$K$24,9,FALSE),"")&lt;&gt;0),"",IF(VLOOKUP($B188,'Base de datos'!$A$3:$K$24,6,FALSE)="","",$N188*VLOOKUP($B188,'Base de datos'!$A$3:$K$24,6,FALSE)))),"")))</f>
        <v/>
      </c>
      <c r="H188" s="7" t="str">
        <f>IF($B188="","",IF(OR(UPPER(IFERROR(VLOOKUP($B188,'Base de datos'!$A$3:$K$24,11,FALSE),""))="NO",ISNUMBER(SEARCH("no sometida",IFERROR(VLOOKUP($B188,'Base de datos'!$A$3:$K$24,10,FALSE),""))),ISNUMBER(SEARCH("no fiscal",IFERROR(VLOOKUP($B188,'Base de datos'!$A$3:$K$24,10,FALSE),"")))),"",IF(OR(ISNUMBER(SEARCH("Hach",$B188)),ISNUMBER(SEARCH("Ketamina",$B188))),"",IF(AND(IFERROR(VLOOKUP($B188,'Base de datos'!$A$3:$K$24,9,FALSE),"")&lt;&gt;"",IFERROR(VLOOKUP($B188,'Base de datos'!$A$3:$K$24,9,FALSE),"")&lt;&gt;0),$E188*IFERROR(VLOOKUP($B188,'Base de datos'!$A$3:$K$24,9,FALSE),""),IFERROR($O188*VLOOKUP($B188,'Base de datos'!$A$3:$K$24,4,FALSE),"")))))</f>
        <v/>
      </c>
      <c r="I188" s="5" t="str">
        <f>IFERROR(VLOOKUP($B188,'Base de datos'!$A$3:$K$24,7,FALSE),"")</f>
        <v/>
      </c>
      <c r="J188" s="13" t="str">
        <f>IFERROR(VLOOKUP($B188,'Base de datos'!$A$3:$K$24,10,FALSE),"")</f>
        <v/>
      </c>
      <c r="K188" s="6"/>
      <c r="L188" s="4"/>
      <c r="M188" s="6" t="str">
        <f>IF(OR(OR(UPPER(IFERROR(VLOOKUP($B188,'Base de datos'!$A$3:$K$24,11,FALSE),""))="NO",ISNUMBER(SEARCH("no sometida",IFERROR(VLOOKUP($B188,'Base de datos'!$A$3:$K$24,10,FALSE),""))),ISNUMBER(SEARCH("no fiscal",IFERROR(VLOOKUP($B188,'Base de datos'!$A$3:$K$24,10,FALSE),"")))),OR(ISNUMBER(SEARCH("Hach",$B188)),ISNUMBER(SEARCH("Ketamina",$B188))),AND(IFERROR(VLOOKUP($B188,'Base de datos'!$A$3:$K$24,9,FALSE),"")&lt;&gt;"",IFERROR(VLOOKUP($B188,'Base de datos'!$A$3:$K$24,9,FALSE),"")&lt;&gt;0)),"",IFERROR($E188*$C188/$I188,""))</f>
        <v/>
      </c>
      <c r="N188" s="6" t="str">
        <f>IF(OR(OR(UPPER(IFERROR(VLOOKUP($B188,'Base de datos'!$A$3:$K$24,11,FALSE),""))="NO",ISNUMBER(SEARCH("no sometida",IFERROR(VLOOKUP($B188,'Base de datos'!$A$3:$K$24,10,FALSE),""))),ISNUMBER(SEARCH("no fiscal",IFERROR(VLOOKUP($B188,'Base de datos'!$A$3:$K$24,10,FALSE),"")))),OR(ISNUMBER(SEARCH("Hach",$B188)),ISNUMBER(SEARCH("Ketamina",$B188))),AND(IFERROR(VLOOKUP($B188,'Base de datos'!$A$3:$K$24,9,FALSE),"")&lt;&gt;"",IFERROR(VLOOKUP($B188,'Base de datos'!$A$3:$K$24,9,FALSE),"")&lt;&gt;0)),"",IFERROR($E188*$C188/IFERROR(VLOOKUP($B188,'Base de datos'!$A$3:$K$24,5,FALSE),0),""))</f>
        <v/>
      </c>
      <c r="O188" s="6" t="str">
        <f>IF(OR(OR(UPPER(IFERROR(VLOOKUP($B188,'Base de datos'!$A$3:$K$24,11,FALSE),""))="NO",ISNUMBER(SEARCH("no sometida",IFERROR(VLOOKUP($B188,'Base de datos'!$A$3:$K$24,10,FALSE),""))),ISNUMBER(SEARCH("no fiscal",IFERROR(VLOOKUP($B188,'Base de datos'!$A$3:$K$24,10,FALSE),"")))),OR(ISNUMBER(SEARCH("Hach",$B188)),ISNUMBER(SEARCH("Ketamina",$B188))),AND(IFERROR(VLOOKUP($B188,'Base de datos'!$A$3:$K$24,9,FALSE),"")&lt;&gt;"",IFERROR(VLOOKUP($B188,'Base de datos'!$A$3:$K$24,9,FALSE),"")&lt;&gt;0)),"",IFERROR((($E188*$C188/IFERROR(VLOOKUP($B188,'Base de datos'!$A$3:$K$24,3,FALSE),0))*1000)/IFERROR(VLOOKUP($B188,'Base de datos'!$A$3:$K$24,2,FALSE),0),""))</f>
        <v/>
      </c>
    </row>
    <row r="189" spans="1:15" x14ac:dyDescent="0.25">
      <c r="A189" s="4"/>
      <c r="B189" s="4"/>
      <c r="C189" s="5" t="str">
        <f>IFERROR(VLOOKUP($B189,'Base de datos'!$A$3:$K$24,3,FALSE),"")</f>
        <v/>
      </c>
      <c r="D189" s="4" t="str">
        <f t="shared" si="5"/>
        <v/>
      </c>
      <c r="E189" s="6"/>
      <c r="F189" s="7" t="str">
        <f>IF($B189="","",IF(OR(UPPER(IFERROR(VLOOKUP($B189,'Base de datos'!$A$3:$K$24,11,FALSE),""))="NO",ISNUMBER(SEARCH("no sometida",IFERROR(VLOOKUP($B189,'Base de datos'!$A$3:$K$24,10,FALSE),""))),ISNUMBER(SEARCH("no fiscal",IFERROR(VLOOKUP($B189,'Base de datos'!$A$3:$K$24,10,FALSE),"")))),"",IF(OR(OR(ISNUMBER(SEARCH("Hach",$B189)),ISNUMBER(SEARCH("Ketamina",$B189))),AND(IFERROR(VLOOKUP($B189,'Base de datos'!$A$3:$K$24,9,FALSE),"")&lt;&gt;"",IFERROR(VLOOKUP($B189,'Base de datos'!$A$3:$K$24,9,FALSE),"")&lt;&gt;0)),"",IFERROR($M189*VLOOKUP($B189,'Base de datos'!$A$3:$K$24,8,FALSE)/1000,""))))</f>
        <v/>
      </c>
      <c r="G189" s="7" t="str">
        <f>IF($B189="","",IF(OR(UPPER(IFERROR(VLOOKUP($B189,'Base de datos'!$A$3:$K$24,11,FALSE),""))="NO",ISNUMBER(SEARCH("no sometida",IFERROR(VLOOKUP($B189,'Base de datos'!$A$3:$K$24,10,FALSE),""))),ISNUMBER(SEARCH("no fiscal",IFERROR(VLOOKUP($B189,'Base de datos'!$A$3:$K$24,10,FALSE),"")))),"",IFERROR(IF(OR(ISNUMBER(SEARCH("Hach",$B189)),ISNUMBER(SEARCH("Ketamina",$B189))),IF(VLOOKUP($B189,'Base de datos'!$A$3:$K$24,6,FALSE)="","",$E189*VLOOKUP($B189,'Base de datos'!$A$3:$K$24,6,FALSE)),IF(AND(IFERROR(VLOOKUP($B189,'Base de datos'!$A$3:$K$24,9,FALSE),"")&lt;&gt;"",IFERROR(VLOOKUP($B189,'Base de datos'!$A$3:$K$24,9,FALSE),"")&lt;&gt;0),"",IF(VLOOKUP($B189,'Base de datos'!$A$3:$K$24,6,FALSE)="","",$N189*VLOOKUP($B189,'Base de datos'!$A$3:$K$24,6,FALSE)))),"")))</f>
        <v/>
      </c>
      <c r="H189" s="7" t="str">
        <f>IF($B189="","",IF(OR(UPPER(IFERROR(VLOOKUP($B189,'Base de datos'!$A$3:$K$24,11,FALSE),""))="NO",ISNUMBER(SEARCH("no sometida",IFERROR(VLOOKUP($B189,'Base de datos'!$A$3:$K$24,10,FALSE),""))),ISNUMBER(SEARCH("no fiscal",IFERROR(VLOOKUP($B189,'Base de datos'!$A$3:$K$24,10,FALSE),"")))),"",IF(OR(ISNUMBER(SEARCH("Hach",$B189)),ISNUMBER(SEARCH("Ketamina",$B189))),"",IF(AND(IFERROR(VLOOKUP($B189,'Base de datos'!$A$3:$K$24,9,FALSE),"")&lt;&gt;"",IFERROR(VLOOKUP($B189,'Base de datos'!$A$3:$K$24,9,FALSE),"")&lt;&gt;0),$E189*IFERROR(VLOOKUP($B189,'Base de datos'!$A$3:$K$24,9,FALSE),""),IFERROR($O189*VLOOKUP($B189,'Base de datos'!$A$3:$K$24,4,FALSE),"")))))</f>
        <v/>
      </c>
      <c r="I189" s="5" t="str">
        <f>IFERROR(VLOOKUP($B189,'Base de datos'!$A$3:$K$24,7,FALSE),"")</f>
        <v/>
      </c>
      <c r="J189" s="13" t="str">
        <f>IFERROR(VLOOKUP($B189,'Base de datos'!$A$3:$K$24,10,FALSE),"")</f>
        <v/>
      </c>
      <c r="K189" s="6"/>
      <c r="L189" s="4"/>
      <c r="M189" s="6" t="str">
        <f>IF(OR(OR(UPPER(IFERROR(VLOOKUP($B189,'Base de datos'!$A$3:$K$24,11,FALSE),""))="NO",ISNUMBER(SEARCH("no sometida",IFERROR(VLOOKUP($B189,'Base de datos'!$A$3:$K$24,10,FALSE),""))),ISNUMBER(SEARCH("no fiscal",IFERROR(VLOOKUP($B189,'Base de datos'!$A$3:$K$24,10,FALSE),"")))),OR(ISNUMBER(SEARCH("Hach",$B189)),ISNUMBER(SEARCH("Ketamina",$B189))),AND(IFERROR(VLOOKUP($B189,'Base de datos'!$A$3:$K$24,9,FALSE),"")&lt;&gt;"",IFERROR(VLOOKUP($B189,'Base de datos'!$A$3:$K$24,9,FALSE),"")&lt;&gt;0)),"",IFERROR($E189*$C189/$I189,""))</f>
        <v/>
      </c>
      <c r="N189" s="6" t="str">
        <f>IF(OR(OR(UPPER(IFERROR(VLOOKUP($B189,'Base de datos'!$A$3:$K$24,11,FALSE),""))="NO",ISNUMBER(SEARCH("no sometida",IFERROR(VLOOKUP($B189,'Base de datos'!$A$3:$K$24,10,FALSE),""))),ISNUMBER(SEARCH("no fiscal",IFERROR(VLOOKUP($B189,'Base de datos'!$A$3:$K$24,10,FALSE),"")))),OR(ISNUMBER(SEARCH("Hach",$B189)),ISNUMBER(SEARCH("Ketamina",$B189))),AND(IFERROR(VLOOKUP($B189,'Base de datos'!$A$3:$K$24,9,FALSE),"")&lt;&gt;"",IFERROR(VLOOKUP($B189,'Base de datos'!$A$3:$K$24,9,FALSE),"")&lt;&gt;0)),"",IFERROR($E189*$C189/IFERROR(VLOOKUP($B189,'Base de datos'!$A$3:$K$24,5,FALSE),0),""))</f>
        <v/>
      </c>
      <c r="O189" s="6" t="str">
        <f>IF(OR(OR(UPPER(IFERROR(VLOOKUP($B189,'Base de datos'!$A$3:$K$24,11,FALSE),""))="NO",ISNUMBER(SEARCH("no sometida",IFERROR(VLOOKUP($B189,'Base de datos'!$A$3:$K$24,10,FALSE),""))),ISNUMBER(SEARCH("no fiscal",IFERROR(VLOOKUP($B189,'Base de datos'!$A$3:$K$24,10,FALSE),"")))),OR(ISNUMBER(SEARCH("Hach",$B189)),ISNUMBER(SEARCH("Ketamina",$B189))),AND(IFERROR(VLOOKUP($B189,'Base de datos'!$A$3:$K$24,9,FALSE),"")&lt;&gt;"",IFERROR(VLOOKUP($B189,'Base de datos'!$A$3:$K$24,9,FALSE),"")&lt;&gt;0)),"",IFERROR((($E189*$C189/IFERROR(VLOOKUP($B189,'Base de datos'!$A$3:$K$24,3,FALSE),0))*1000)/IFERROR(VLOOKUP($B189,'Base de datos'!$A$3:$K$24,2,FALSE),0),""))</f>
        <v/>
      </c>
    </row>
    <row r="190" spans="1:15" x14ac:dyDescent="0.25">
      <c r="A190" s="4"/>
      <c r="B190" s="4"/>
      <c r="C190" s="5" t="str">
        <f>IFERROR(VLOOKUP($B190,'Base de datos'!$A$3:$K$24,3,FALSE),"")</f>
        <v/>
      </c>
      <c r="D190" s="4" t="str">
        <f t="shared" si="5"/>
        <v/>
      </c>
      <c r="E190" s="6"/>
      <c r="F190" s="7" t="str">
        <f>IF($B190="","",IF(OR(UPPER(IFERROR(VLOOKUP($B190,'Base de datos'!$A$3:$K$24,11,FALSE),""))="NO",ISNUMBER(SEARCH("no sometida",IFERROR(VLOOKUP($B190,'Base de datos'!$A$3:$K$24,10,FALSE),""))),ISNUMBER(SEARCH("no fiscal",IFERROR(VLOOKUP($B190,'Base de datos'!$A$3:$K$24,10,FALSE),"")))),"",IF(OR(OR(ISNUMBER(SEARCH("Hach",$B190)),ISNUMBER(SEARCH("Ketamina",$B190))),AND(IFERROR(VLOOKUP($B190,'Base de datos'!$A$3:$K$24,9,FALSE),"")&lt;&gt;"",IFERROR(VLOOKUP($B190,'Base de datos'!$A$3:$K$24,9,FALSE),"")&lt;&gt;0)),"",IFERROR($M190*VLOOKUP($B190,'Base de datos'!$A$3:$K$24,8,FALSE)/1000,""))))</f>
        <v/>
      </c>
      <c r="G190" s="7" t="str">
        <f>IF($B190="","",IF(OR(UPPER(IFERROR(VLOOKUP($B190,'Base de datos'!$A$3:$K$24,11,FALSE),""))="NO",ISNUMBER(SEARCH("no sometida",IFERROR(VLOOKUP($B190,'Base de datos'!$A$3:$K$24,10,FALSE),""))),ISNUMBER(SEARCH("no fiscal",IFERROR(VLOOKUP($B190,'Base de datos'!$A$3:$K$24,10,FALSE),"")))),"",IFERROR(IF(OR(ISNUMBER(SEARCH("Hach",$B190)),ISNUMBER(SEARCH("Ketamina",$B190))),IF(VLOOKUP($B190,'Base de datos'!$A$3:$K$24,6,FALSE)="","",$E190*VLOOKUP($B190,'Base de datos'!$A$3:$K$24,6,FALSE)),IF(AND(IFERROR(VLOOKUP($B190,'Base de datos'!$A$3:$K$24,9,FALSE),"")&lt;&gt;"",IFERROR(VLOOKUP($B190,'Base de datos'!$A$3:$K$24,9,FALSE),"")&lt;&gt;0),"",IF(VLOOKUP($B190,'Base de datos'!$A$3:$K$24,6,FALSE)="","",$N190*VLOOKUP($B190,'Base de datos'!$A$3:$K$24,6,FALSE)))),"")))</f>
        <v/>
      </c>
      <c r="H190" s="7" t="str">
        <f>IF($B190="","",IF(OR(UPPER(IFERROR(VLOOKUP($B190,'Base de datos'!$A$3:$K$24,11,FALSE),""))="NO",ISNUMBER(SEARCH("no sometida",IFERROR(VLOOKUP($B190,'Base de datos'!$A$3:$K$24,10,FALSE),""))),ISNUMBER(SEARCH("no fiscal",IFERROR(VLOOKUP($B190,'Base de datos'!$A$3:$K$24,10,FALSE),"")))),"",IF(OR(ISNUMBER(SEARCH("Hach",$B190)),ISNUMBER(SEARCH("Ketamina",$B190))),"",IF(AND(IFERROR(VLOOKUP($B190,'Base de datos'!$A$3:$K$24,9,FALSE),"")&lt;&gt;"",IFERROR(VLOOKUP($B190,'Base de datos'!$A$3:$K$24,9,FALSE),"")&lt;&gt;0),$E190*IFERROR(VLOOKUP($B190,'Base de datos'!$A$3:$K$24,9,FALSE),""),IFERROR($O190*VLOOKUP($B190,'Base de datos'!$A$3:$K$24,4,FALSE),"")))))</f>
        <v/>
      </c>
      <c r="I190" s="5" t="str">
        <f>IFERROR(VLOOKUP($B190,'Base de datos'!$A$3:$K$24,7,FALSE),"")</f>
        <v/>
      </c>
      <c r="J190" s="13" t="str">
        <f>IFERROR(VLOOKUP($B190,'Base de datos'!$A$3:$K$24,10,FALSE),"")</f>
        <v/>
      </c>
      <c r="K190" s="6"/>
      <c r="L190" s="4"/>
      <c r="M190" s="6" t="str">
        <f>IF(OR(OR(UPPER(IFERROR(VLOOKUP($B190,'Base de datos'!$A$3:$K$24,11,FALSE),""))="NO",ISNUMBER(SEARCH("no sometida",IFERROR(VLOOKUP($B190,'Base de datos'!$A$3:$K$24,10,FALSE),""))),ISNUMBER(SEARCH("no fiscal",IFERROR(VLOOKUP($B190,'Base de datos'!$A$3:$K$24,10,FALSE),"")))),OR(ISNUMBER(SEARCH("Hach",$B190)),ISNUMBER(SEARCH("Ketamina",$B190))),AND(IFERROR(VLOOKUP($B190,'Base de datos'!$A$3:$K$24,9,FALSE),"")&lt;&gt;"",IFERROR(VLOOKUP($B190,'Base de datos'!$A$3:$K$24,9,FALSE),"")&lt;&gt;0)),"",IFERROR($E190*$C190/$I190,""))</f>
        <v/>
      </c>
      <c r="N190" s="6" t="str">
        <f>IF(OR(OR(UPPER(IFERROR(VLOOKUP($B190,'Base de datos'!$A$3:$K$24,11,FALSE),""))="NO",ISNUMBER(SEARCH("no sometida",IFERROR(VLOOKUP($B190,'Base de datos'!$A$3:$K$24,10,FALSE),""))),ISNUMBER(SEARCH("no fiscal",IFERROR(VLOOKUP($B190,'Base de datos'!$A$3:$K$24,10,FALSE),"")))),OR(ISNUMBER(SEARCH("Hach",$B190)),ISNUMBER(SEARCH("Ketamina",$B190))),AND(IFERROR(VLOOKUP($B190,'Base de datos'!$A$3:$K$24,9,FALSE),"")&lt;&gt;"",IFERROR(VLOOKUP($B190,'Base de datos'!$A$3:$K$24,9,FALSE),"")&lt;&gt;0)),"",IFERROR($E190*$C190/IFERROR(VLOOKUP($B190,'Base de datos'!$A$3:$K$24,5,FALSE),0),""))</f>
        <v/>
      </c>
      <c r="O190" s="6" t="str">
        <f>IF(OR(OR(UPPER(IFERROR(VLOOKUP($B190,'Base de datos'!$A$3:$K$24,11,FALSE),""))="NO",ISNUMBER(SEARCH("no sometida",IFERROR(VLOOKUP($B190,'Base de datos'!$A$3:$K$24,10,FALSE),""))),ISNUMBER(SEARCH("no fiscal",IFERROR(VLOOKUP($B190,'Base de datos'!$A$3:$K$24,10,FALSE),"")))),OR(ISNUMBER(SEARCH("Hach",$B190)),ISNUMBER(SEARCH("Ketamina",$B190))),AND(IFERROR(VLOOKUP($B190,'Base de datos'!$A$3:$K$24,9,FALSE),"")&lt;&gt;"",IFERROR(VLOOKUP($B190,'Base de datos'!$A$3:$K$24,9,FALSE),"")&lt;&gt;0)),"",IFERROR((($E190*$C190/IFERROR(VLOOKUP($B190,'Base de datos'!$A$3:$K$24,3,FALSE),0))*1000)/IFERROR(VLOOKUP($B190,'Base de datos'!$A$3:$K$24,2,FALSE),0),""))</f>
        <v/>
      </c>
    </row>
    <row r="191" spans="1:15" x14ac:dyDescent="0.25">
      <c r="A191" s="4"/>
      <c r="B191" s="4"/>
      <c r="C191" s="5" t="str">
        <f>IFERROR(VLOOKUP($B191,'Base de datos'!$A$3:$K$24,3,FALSE),"")</f>
        <v/>
      </c>
      <c r="D191" s="4" t="str">
        <f t="shared" si="5"/>
        <v/>
      </c>
      <c r="E191" s="6"/>
      <c r="F191" s="7" t="str">
        <f>IF($B191="","",IF(OR(UPPER(IFERROR(VLOOKUP($B191,'Base de datos'!$A$3:$K$24,11,FALSE),""))="NO",ISNUMBER(SEARCH("no sometida",IFERROR(VLOOKUP($B191,'Base de datos'!$A$3:$K$24,10,FALSE),""))),ISNUMBER(SEARCH("no fiscal",IFERROR(VLOOKUP($B191,'Base de datos'!$A$3:$K$24,10,FALSE),"")))),"",IF(OR(OR(ISNUMBER(SEARCH("Hach",$B191)),ISNUMBER(SEARCH("Ketamina",$B191))),AND(IFERROR(VLOOKUP($B191,'Base de datos'!$A$3:$K$24,9,FALSE),"")&lt;&gt;"",IFERROR(VLOOKUP($B191,'Base de datos'!$A$3:$K$24,9,FALSE),"")&lt;&gt;0)),"",IFERROR($M191*VLOOKUP($B191,'Base de datos'!$A$3:$K$24,8,FALSE)/1000,""))))</f>
        <v/>
      </c>
      <c r="G191" s="7" t="str">
        <f>IF($B191="","",IF(OR(UPPER(IFERROR(VLOOKUP($B191,'Base de datos'!$A$3:$K$24,11,FALSE),""))="NO",ISNUMBER(SEARCH("no sometida",IFERROR(VLOOKUP($B191,'Base de datos'!$A$3:$K$24,10,FALSE),""))),ISNUMBER(SEARCH("no fiscal",IFERROR(VLOOKUP($B191,'Base de datos'!$A$3:$K$24,10,FALSE),"")))),"",IFERROR(IF(OR(ISNUMBER(SEARCH("Hach",$B191)),ISNUMBER(SEARCH("Ketamina",$B191))),IF(VLOOKUP($B191,'Base de datos'!$A$3:$K$24,6,FALSE)="","",$E191*VLOOKUP($B191,'Base de datos'!$A$3:$K$24,6,FALSE)),IF(AND(IFERROR(VLOOKUP($B191,'Base de datos'!$A$3:$K$24,9,FALSE),"")&lt;&gt;"",IFERROR(VLOOKUP($B191,'Base de datos'!$A$3:$K$24,9,FALSE),"")&lt;&gt;0),"",IF(VLOOKUP($B191,'Base de datos'!$A$3:$K$24,6,FALSE)="","",$N191*VLOOKUP($B191,'Base de datos'!$A$3:$K$24,6,FALSE)))),"")))</f>
        <v/>
      </c>
      <c r="H191" s="7" t="str">
        <f>IF($B191="","",IF(OR(UPPER(IFERROR(VLOOKUP($B191,'Base de datos'!$A$3:$K$24,11,FALSE),""))="NO",ISNUMBER(SEARCH("no sometida",IFERROR(VLOOKUP($B191,'Base de datos'!$A$3:$K$24,10,FALSE),""))),ISNUMBER(SEARCH("no fiscal",IFERROR(VLOOKUP($B191,'Base de datos'!$A$3:$K$24,10,FALSE),"")))),"",IF(OR(ISNUMBER(SEARCH("Hach",$B191)),ISNUMBER(SEARCH("Ketamina",$B191))),"",IF(AND(IFERROR(VLOOKUP($B191,'Base de datos'!$A$3:$K$24,9,FALSE),"")&lt;&gt;"",IFERROR(VLOOKUP($B191,'Base de datos'!$A$3:$K$24,9,FALSE),"")&lt;&gt;0),$E191*IFERROR(VLOOKUP($B191,'Base de datos'!$A$3:$K$24,9,FALSE),""),IFERROR($O191*VLOOKUP($B191,'Base de datos'!$A$3:$K$24,4,FALSE),"")))))</f>
        <v/>
      </c>
      <c r="I191" s="5" t="str">
        <f>IFERROR(VLOOKUP($B191,'Base de datos'!$A$3:$K$24,7,FALSE),"")</f>
        <v/>
      </c>
      <c r="J191" s="13" t="str">
        <f>IFERROR(VLOOKUP($B191,'Base de datos'!$A$3:$K$24,10,FALSE),"")</f>
        <v/>
      </c>
      <c r="K191" s="6"/>
      <c r="L191" s="4"/>
      <c r="M191" s="6" t="str">
        <f>IF(OR(OR(UPPER(IFERROR(VLOOKUP($B191,'Base de datos'!$A$3:$K$24,11,FALSE),""))="NO",ISNUMBER(SEARCH("no sometida",IFERROR(VLOOKUP($B191,'Base de datos'!$A$3:$K$24,10,FALSE),""))),ISNUMBER(SEARCH("no fiscal",IFERROR(VLOOKUP($B191,'Base de datos'!$A$3:$K$24,10,FALSE),"")))),OR(ISNUMBER(SEARCH("Hach",$B191)),ISNUMBER(SEARCH("Ketamina",$B191))),AND(IFERROR(VLOOKUP($B191,'Base de datos'!$A$3:$K$24,9,FALSE),"")&lt;&gt;"",IFERROR(VLOOKUP($B191,'Base de datos'!$A$3:$K$24,9,FALSE),"")&lt;&gt;0)),"",IFERROR($E191*$C191/$I191,""))</f>
        <v/>
      </c>
      <c r="N191" s="6" t="str">
        <f>IF(OR(OR(UPPER(IFERROR(VLOOKUP($B191,'Base de datos'!$A$3:$K$24,11,FALSE),""))="NO",ISNUMBER(SEARCH("no sometida",IFERROR(VLOOKUP($B191,'Base de datos'!$A$3:$K$24,10,FALSE),""))),ISNUMBER(SEARCH("no fiscal",IFERROR(VLOOKUP($B191,'Base de datos'!$A$3:$K$24,10,FALSE),"")))),OR(ISNUMBER(SEARCH("Hach",$B191)),ISNUMBER(SEARCH("Ketamina",$B191))),AND(IFERROR(VLOOKUP($B191,'Base de datos'!$A$3:$K$24,9,FALSE),"")&lt;&gt;"",IFERROR(VLOOKUP($B191,'Base de datos'!$A$3:$K$24,9,FALSE),"")&lt;&gt;0)),"",IFERROR($E191*$C191/IFERROR(VLOOKUP($B191,'Base de datos'!$A$3:$K$24,5,FALSE),0),""))</f>
        <v/>
      </c>
      <c r="O191" s="6" t="str">
        <f>IF(OR(OR(UPPER(IFERROR(VLOOKUP($B191,'Base de datos'!$A$3:$K$24,11,FALSE),""))="NO",ISNUMBER(SEARCH("no sometida",IFERROR(VLOOKUP($B191,'Base de datos'!$A$3:$K$24,10,FALSE),""))),ISNUMBER(SEARCH("no fiscal",IFERROR(VLOOKUP($B191,'Base de datos'!$A$3:$K$24,10,FALSE),"")))),OR(ISNUMBER(SEARCH("Hach",$B191)),ISNUMBER(SEARCH("Ketamina",$B191))),AND(IFERROR(VLOOKUP($B191,'Base de datos'!$A$3:$K$24,9,FALSE),"")&lt;&gt;"",IFERROR(VLOOKUP($B191,'Base de datos'!$A$3:$K$24,9,FALSE),"")&lt;&gt;0)),"",IFERROR((($E191*$C191/IFERROR(VLOOKUP($B191,'Base de datos'!$A$3:$K$24,3,FALSE),0))*1000)/IFERROR(VLOOKUP($B191,'Base de datos'!$A$3:$K$24,2,FALSE),0),""))</f>
        <v/>
      </c>
    </row>
    <row r="192" spans="1:15" x14ac:dyDescent="0.25">
      <c r="A192" s="4"/>
      <c r="B192" s="4"/>
      <c r="C192" s="5" t="str">
        <f>IFERROR(VLOOKUP($B192,'Base de datos'!$A$3:$K$24,3,FALSE),"")</f>
        <v/>
      </c>
      <c r="D192" s="4" t="str">
        <f t="shared" si="5"/>
        <v/>
      </c>
      <c r="E192" s="6"/>
      <c r="F192" s="7" t="str">
        <f>IF($B192="","",IF(OR(UPPER(IFERROR(VLOOKUP($B192,'Base de datos'!$A$3:$K$24,11,FALSE),""))="NO",ISNUMBER(SEARCH("no sometida",IFERROR(VLOOKUP($B192,'Base de datos'!$A$3:$K$24,10,FALSE),""))),ISNUMBER(SEARCH("no fiscal",IFERROR(VLOOKUP($B192,'Base de datos'!$A$3:$K$24,10,FALSE),"")))),"",IF(OR(OR(ISNUMBER(SEARCH("Hach",$B192)),ISNUMBER(SEARCH("Ketamina",$B192))),AND(IFERROR(VLOOKUP($B192,'Base de datos'!$A$3:$K$24,9,FALSE),"")&lt;&gt;"",IFERROR(VLOOKUP($B192,'Base de datos'!$A$3:$K$24,9,FALSE),"")&lt;&gt;0)),"",IFERROR($M192*VLOOKUP($B192,'Base de datos'!$A$3:$K$24,8,FALSE)/1000,""))))</f>
        <v/>
      </c>
      <c r="G192" s="7" t="str">
        <f>IF($B192="","",IF(OR(UPPER(IFERROR(VLOOKUP($B192,'Base de datos'!$A$3:$K$24,11,FALSE),""))="NO",ISNUMBER(SEARCH("no sometida",IFERROR(VLOOKUP($B192,'Base de datos'!$A$3:$K$24,10,FALSE),""))),ISNUMBER(SEARCH("no fiscal",IFERROR(VLOOKUP($B192,'Base de datos'!$A$3:$K$24,10,FALSE),"")))),"",IFERROR(IF(OR(ISNUMBER(SEARCH("Hach",$B192)),ISNUMBER(SEARCH("Ketamina",$B192))),IF(VLOOKUP($B192,'Base de datos'!$A$3:$K$24,6,FALSE)="","",$E192*VLOOKUP($B192,'Base de datos'!$A$3:$K$24,6,FALSE)),IF(AND(IFERROR(VLOOKUP($B192,'Base de datos'!$A$3:$K$24,9,FALSE),"")&lt;&gt;"",IFERROR(VLOOKUP($B192,'Base de datos'!$A$3:$K$24,9,FALSE),"")&lt;&gt;0),"",IF(VLOOKUP($B192,'Base de datos'!$A$3:$K$24,6,FALSE)="","",$N192*VLOOKUP($B192,'Base de datos'!$A$3:$K$24,6,FALSE)))),"")))</f>
        <v/>
      </c>
      <c r="H192" s="7" t="str">
        <f>IF($B192="","",IF(OR(UPPER(IFERROR(VLOOKUP($B192,'Base de datos'!$A$3:$K$24,11,FALSE),""))="NO",ISNUMBER(SEARCH("no sometida",IFERROR(VLOOKUP($B192,'Base de datos'!$A$3:$K$24,10,FALSE),""))),ISNUMBER(SEARCH("no fiscal",IFERROR(VLOOKUP($B192,'Base de datos'!$A$3:$K$24,10,FALSE),"")))),"",IF(OR(ISNUMBER(SEARCH("Hach",$B192)),ISNUMBER(SEARCH("Ketamina",$B192))),"",IF(AND(IFERROR(VLOOKUP($B192,'Base de datos'!$A$3:$K$24,9,FALSE),"")&lt;&gt;"",IFERROR(VLOOKUP($B192,'Base de datos'!$A$3:$K$24,9,FALSE),"")&lt;&gt;0),$E192*IFERROR(VLOOKUP($B192,'Base de datos'!$A$3:$K$24,9,FALSE),""),IFERROR($O192*VLOOKUP($B192,'Base de datos'!$A$3:$K$24,4,FALSE),"")))))</f>
        <v/>
      </c>
      <c r="I192" s="5" t="str">
        <f>IFERROR(VLOOKUP($B192,'Base de datos'!$A$3:$K$24,7,FALSE),"")</f>
        <v/>
      </c>
      <c r="J192" s="13" t="str">
        <f>IFERROR(VLOOKUP($B192,'Base de datos'!$A$3:$K$24,10,FALSE),"")</f>
        <v/>
      </c>
      <c r="K192" s="6"/>
      <c r="L192" s="4"/>
      <c r="M192" s="6" t="str">
        <f>IF(OR(OR(UPPER(IFERROR(VLOOKUP($B192,'Base de datos'!$A$3:$K$24,11,FALSE),""))="NO",ISNUMBER(SEARCH("no sometida",IFERROR(VLOOKUP($B192,'Base de datos'!$A$3:$K$24,10,FALSE),""))),ISNUMBER(SEARCH("no fiscal",IFERROR(VLOOKUP($B192,'Base de datos'!$A$3:$K$24,10,FALSE),"")))),OR(ISNUMBER(SEARCH("Hach",$B192)),ISNUMBER(SEARCH("Ketamina",$B192))),AND(IFERROR(VLOOKUP($B192,'Base de datos'!$A$3:$K$24,9,FALSE),"")&lt;&gt;"",IFERROR(VLOOKUP($B192,'Base de datos'!$A$3:$K$24,9,FALSE),"")&lt;&gt;0)),"",IFERROR($E192*$C192/$I192,""))</f>
        <v/>
      </c>
      <c r="N192" s="6" t="str">
        <f>IF(OR(OR(UPPER(IFERROR(VLOOKUP($B192,'Base de datos'!$A$3:$K$24,11,FALSE),""))="NO",ISNUMBER(SEARCH("no sometida",IFERROR(VLOOKUP($B192,'Base de datos'!$A$3:$K$24,10,FALSE),""))),ISNUMBER(SEARCH("no fiscal",IFERROR(VLOOKUP($B192,'Base de datos'!$A$3:$K$24,10,FALSE),"")))),OR(ISNUMBER(SEARCH("Hach",$B192)),ISNUMBER(SEARCH("Ketamina",$B192))),AND(IFERROR(VLOOKUP($B192,'Base de datos'!$A$3:$K$24,9,FALSE),"")&lt;&gt;"",IFERROR(VLOOKUP($B192,'Base de datos'!$A$3:$K$24,9,FALSE),"")&lt;&gt;0)),"",IFERROR($E192*$C192/IFERROR(VLOOKUP($B192,'Base de datos'!$A$3:$K$24,5,FALSE),0),""))</f>
        <v/>
      </c>
      <c r="O192" s="6" t="str">
        <f>IF(OR(OR(UPPER(IFERROR(VLOOKUP($B192,'Base de datos'!$A$3:$K$24,11,FALSE),""))="NO",ISNUMBER(SEARCH("no sometida",IFERROR(VLOOKUP($B192,'Base de datos'!$A$3:$K$24,10,FALSE),""))),ISNUMBER(SEARCH("no fiscal",IFERROR(VLOOKUP($B192,'Base de datos'!$A$3:$K$24,10,FALSE),"")))),OR(ISNUMBER(SEARCH("Hach",$B192)),ISNUMBER(SEARCH("Ketamina",$B192))),AND(IFERROR(VLOOKUP($B192,'Base de datos'!$A$3:$K$24,9,FALSE),"")&lt;&gt;"",IFERROR(VLOOKUP($B192,'Base de datos'!$A$3:$K$24,9,FALSE),"")&lt;&gt;0)),"",IFERROR((($E192*$C192/IFERROR(VLOOKUP($B192,'Base de datos'!$A$3:$K$24,3,FALSE),0))*1000)/IFERROR(VLOOKUP($B192,'Base de datos'!$A$3:$K$24,2,FALSE),0),""))</f>
        <v/>
      </c>
    </row>
    <row r="193" spans="1:15" x14ac:dyDescent="0.25">
      <c r="A193" s="4"/>
      <c r="B193" s="4"/>
      <c r="C193" s="5" t="str">
        <f>IFERROR(VLOOKUP($B193,'Base de datos'!$A$3:$K$24,3,FALSE),"")</f>
        <v/>
      </c>
      <c r="D193" s="4" t="str">
        <f t="shared" si="5"/>
        <v/>
      </c>
      <c r="E193" s="6"/>
      <c r="F193" s="7" t="str">
        <f>IF($B193="","",IF(OR(UPPER(IFERROR(VLOOKUP($B193,'Base de datos'!$A$3:$K$24,11,FALSE),""))="NO",ISNUMBER(SEARCH("no sometida",IFERROR(VLOOKUP($B193,'Base de datos'!$A$3:$K$24,10,FALSE),""))),ISNUMBER(SEARCH("no fiscal",IFERROR(VLOOKUP($B193,'Base de datos'!$A$3:$K$24,10,FALSE),"")))),"",IF(OR(OR(ISNUMBER(SEARCH("Hach",$B193)),ISNUMBER(SEARCH("Ketamina",$B193))),AND(IFERROR(VLOOKUP($B193,'Base de datos'!$A$3:$K$24,9,FALSE),"")&lt;&gt;"",IFERROR(VLOOKUP($B193,'Base de datos'!$A$3:$K$24,9,FALSE),"")&lt;&gt;0)),"",IFERROR($M193*VLOOKUP($B193,'Base de datos'!$A$3:$K$24,8,FALSE)/1000,""))))</f>
        <v/>
      </c>
      <c r="G193" s="7" t="str">
        <f>IF($B193="","",IF(OR(UPPER(IFERROR(VLOOKUP($B193,'Base de datos'!$A$3:$K$24,11,FALSE),""))="NO",ISNUMBER(SEARCH("no sometida",IFERROR(VLOOKUP($B193,'Base de datos'!$A$3:$K$24,10,FALSE),""))),ISNUMBER(SEARCH("no fiscal",IFERROR(VLOOKUP($B193,'Base de datos'!$A$3:$K$24,10,FALSE),"")))),"",IFERROR(IF(OR(ISNUMBER(SEARCH("Hach",$B193)),ISNUMBER(SEARCH("Ketamina",$B193))),IF(VLOOKUP($B193,'Base de datos'!$A$3:$K$24,6,FALSE)="","",$E193*VLOOKUP($B193,'Base de datos'!$A$3:$K$24,6,FALSE)),IF(AND(IFERROR(VLOOKUP($B193,'Base de datos'!$A$3:$K$24,9,FALSE),"")&lt;&gt;"",IFERROR(VLOOKUP($B193,'Base de datos'!$A$3:$K$24,9,FALSE),"")&lt;&gt;0),"",IF(VLOOKUP($B193,'Base de datos'!$A$3:$K$24,6,FALSE)="","",$N193*VLOOKUP($B193,'Base de datos'!$A$3:$K$24,6,FALSE)))),"")))</f>
        <v/>
      </c>
      <c r="H193" s="7" t="str">
        <f>IF($B193="","",IF(OR(UPPER(IFERROR(VLOOKUP($B193,'Base de datos'!$A$3:$K$24,11,FALSE),""))="NO",ISNUMBER(SEARCH("no sometida",IFERROR(VLOOKUP($B193,'Base de datos'!$A$3:$K$24,10,FALSE),""))),ISNUMBER(SEARCH("no fiscal",IFERROR(VLOOKUP($B193,'Base de datos'!$A$3:$K$24,10,FALSE),"")))),"",IF(OR(ISNUMBER(SEARCH("Hach",$B193)),ISNUMBER(SEARCH("Ketamina",$B193))),"",IF(AND(IFERROR(VLOOKUP($B193,'Base de datos'!$A$3:$K$24,9,FALSE),"")&lt;&gt;"",IFERROR(VLOOKUP($B193,'Base de datos'!$A$3:$K$24,9,FALSE),"")&lt;&gt;0),$E193*IFERROR(VLOOKUP($B193,'Base de datos'!$A$3:$K$24,9,FALSE),""),IFERROR($O193*VLOOKUP($B193,'Base de datos'!$A$3:$K$24,4,FALSE),"")))))</f>
        <v/>
      </c>
      <c r="I193" s="5" t="str">
        <f>IFERROR(VLOOKUP($B193,'Base de datos'!$A$3:$K$24,7,FALSE),"")</f>
        <v/>
      </c>
      <c r="J193" s="13" t="str">
        <f>IFERROR(VLOOKUP($B193,'Base de datos'!$A$3:$K$24,10,FALSE),"")</f>
        <v/>
      </c>
      <c r="K193" s="6"/>
      <c r="L193" s="4"/>
      <c r="M193" s="6" t="str">
        <f>IF(OR(OR(UPPER(IFERROR(VLOOKUP($B193,'Base de datos'!$A$3:$K$24,11,FALSE),""))="NO",ISNUMBER(SEARCH("no sometida",IFERROR(VLOOKUP($B193,'Base de datos'!$A$3:$K$24,10,FALSE),""))),ISNUMBER(SEARCH("no fiscal",IFERROR(VLOOKUP($B193,'Base de datos'!$A$3:$K$24,10,FALSE),"")))),OR(ISNUMBER(SEARCH("Hach",$B193)),ISNUMBER(SEARCH("Ketamina",$B193))),AND(IFERROR(VLOOKUP($B193,'Base de datos'!$A$3:$K$24,9,FALSE),"")&lt;&gt;"",IFERROR(VLOOKUP($B193,'Base de datos'!$A$3:$K$24,9,FALSE),"")&lt;&gt;0)),"",IFERROR($E193*$C193/$I193,""))</f>
        <v/>
      </c>
      <c r="N193" s="6" t="str">
        <f>IF(OR(OR(UPPER(IFERROR(VLOOKUP($B193,'Base de datos'!$A$3:$K$24,11,FALSE),""))="NO",ISNUMBER(SEARCH("no sometida",IFERROR(VLOOKUP($B193,'Base de datos'!$A$3:$K$24,10,FALSE),""))),ISNUMBER(SEARCH("no fiscal",IFERROR(VLOOKUP($B193,'Base de datos'!$A$3:$K$24,10,FALSE),"")))),OR(ISNUMBER(SEARCH("Hach",$B193)),ISNUMBER(SEARCH("Ketamina",$B193))),AND(IFERROR(VLOOKUP($B193,'Base de datos'!$A$3:$K$24,9,FALSE),"")&lt;&gt;"",IFERROR(VLOOKUP($B193,'Base de datos'!$A$3:$K$24,9,FALSE),"")&lt;&gt;0)),"",IFERROR($E193*$C193/IFERROR(VLOOKUP($B193,'Base de datos'!$A$3:$K$24,5,FALSE),0),""))</f>
        <v/>
      </c>
      <c r="O193" s="6" t="str">
        <f>IF(OR(OR(UPPER(IFERROR(VLOOKUP($B193,'Base de datos'!$A$3:$K$24,11,FALSE),""))="NO",ISNUMBER(SEARCH("no sometida",IFERROR(VLOOKUP($B193,'Base de datos'!$A$3:$K$24,10,FALSE),""))),ISNUMBER(SEARCH("no fiscal",IFERROR(VLOOKUP($B193,'Base de datos'!$A$3:$K$24,10,FALSE),"")))),OR(ISNUMBER(SEARCH("Hach",$B193)),ISNUMBER(SEARCH("Ketamina",$B193))),AND(IFERROR(VLOOKUP($B193,'Base de datos'!$A$3:$K$24,9,FALSE),"")&lt;&gt;"",IFERROR(VLOOKUP($B193,'Base de datos'!$A$3:$K$24,9,FALSE),"")&lt;&gt;0)),"",IFERROR((($E193*$C193/IFERROR(VLOOKUP($B193,'Base de datos'!$A$3:$K$24,3,FALSE),0))*1000)/IFERROR(VLOOKUP($B193,'Base de datos'!$A$3:$K$24,2,FALSE),0),""))</f>
        <v/>
      </c>
    </row>
    <row r="194" spans="1:15" x14ac:dyDescent="0.25">
      <c r="A194" s="4"/>
      <c r="B194" s="4"/>
      <c r="C194" s="5" t="str">
        <f>IFERROR(VLOOKUP($B194,'Base de datos'!$A$3:$K$24,3,FALSE),"")</f>
        <v/>
      </c>
      <c r="D194" s="4" t="str">
        <f t="shared" si="5"/>
        <v/>
      </c>
      <c r="E194" s="6"/>
      <c r="F194" s="7" t="str">
        <f>IF($B194="","",IF(OR(UPPER(IFERROR(VLOOKUP($B194,'Base de datos'!$A$3:$K$24,11,FALSE),""))="NO",ISNUMBER(SEARCH("no sometida",IFERROR(VLOOKUP($B194,'Base de datos'!$A$3:$K$24,10,FALSE),""))),ISNUMBER(SEARCH("no fiscal",IFERROR(VLOOKUP($B194,'Base de datos'!$A$3:$K$24,10,FALSE),"")))),"",IF(OR(OR(ISNUMBER(SEARCH("Hach",$B194)),ISNUMBER(SEARCH("Ketamina",$B194))),AND(IFERROR(VLOOKUP($B194,'Base de datos'!$A$3:$K$24,9,FALSE),"")&lt;&gt;"",IFERROR(VLOOKUP($B194,'Base de datos'!$A$3:$K$24,9,FALSE),"")&lt;&gt;0)),"",IFERROR($M194*VLOOKUP($B194,'Base de datos'!$A$3:$K$24,8,FALSE)/1000,""))))</f>
        <v/>
      </c>
      <c r="G194" s="7" t="str">
        <f>IF($B194="","",IF(OR(UPPER(IFERROR(VLOOKUP($B194,'Base de datos'!$A$3:$K$24,11,FALSE),""))="NO",ISNUMBER(SEARCH("no sometida",IFERROR(VLOOKUP($B194,'Base de datos'!$A$3:$K$24,10,FALSE),""))),ISNUMBER(SEARCH("no fiscal",IFERROR(VLOOKUP($B194,'Base de datos'!$A$3:$K$24,10,FALSE),"")))),"",IFERROR(IF(OR(ISNUMBER(SEARCH("Hach",$B194)),ISNUMBER(SEARCH("Ketamina",$B194))),IF(VLOOKUP($B194,'Base de datos'!$A$3:$K$24,6,FALSE)="","",$E194*VLOOKUP($B194,'Base de datos'!$A$3:$K$24,6,FALSE)),IF(AND(IFERROR(VLOOKUP($B194,'Base de datos'!$A$3:$K$24,9,FALSE),"")&lt;&gt;"",IFERROR(VLOOKUP($B194,'Base de datos'!$A$3:$K$24,9,FALSE),"")&lt;&gt;0),"",IF(VLOOKUP($B194,'Base de datos'!$A$3:$K$24,6,FALSE)="","",$N194*VLOOKUP($B194,'Base de datos'!$A$3:$K$24,6,FALSE)))),"")))</f>
        <v/>
      </c>
      <c r="H194" s="7" t="str">
        <f>IF($B194="","",IF(OR(UPPER(IFERROR(VLOOKUP($B194,'Base de datos'!$A$3:$K$24,11,FALSE),""))="NO",ISNUMBER(SEARCH("no sometida",IFERROR(VLOOKUP($B194,'Base de datos'!$A$3:$K$24,10,FALSE),""))),ISNUMBER(SEARCH("no fiscal",IFERROR(VLOOKUP($B194,'Base de datos'!$A$3:$K$24,10,FALSE),"")))),"",IF(OR(ISNUMBER(SEARCH("Hach",$B194)),ISNUMBER(SEARCH("Ketamina",$B194))),"",IF(AND(IFERROR(VLOOKUP($B194,'Base de datos'!$A$3:$K$24,9,FALSE),"")&lt;&gt;"",IFERROR(VLOOKUP($B194,'Base de datos'!$A$3:$K$24,9,FALSE),"")&lt;&gt;0),$E194*IFERROR(VLOOKUP($B194,'Base de datos'!$A$3:$K$24,9,FALSE),""),IFERROR($O194*VLOOKUP($B194,'Base de datos'!$A$3:$K$24,4,FALSE),"")))))</f>
        <v/>
      </c>
      <c r="I194" s="5" t="str">
        <f>IFERROR(VLOOKUP($B194,'Base de datos'!$A$3:$K$24,7,FALSE),"")</f>
        <v/>
      </c>
      <c r="J194" s="13" t="str">
        <f>IFERROR(VLOOKUP($B194,'Base de datos'!$A$3:$K$24,10,FALSE),"")</f>
        <v/>
      </c>
      <c r="K194" s="6"/>
      <c r="L194" s="4"/>
      <c r="M194" s="6" t="str">
        <f>IF(OR(OR(UPPER(IFERROR(VLOOKUP($B194,'Base de datos'!$A$3:$K$24,11,FALSE),""))="NO",ISNUMBER(SEARCH("no sometida",IFERROR(VLOOKUP($B194,'Base de datos'!$A$3:$K$24,10,FALSE),""))),ISNUMBER(SEARCH("no fiscal",IFERROR(VLOOKUP($B194,'Base de datos'!$A$3:$K$24,10,FALSE),"")))),OR(ISNUMBER(SEARCH("Hach",$B194)),ISNUMBER(SEARCH("Ketamina",$B194))),AND(IFERROR(VLOOKUP($B194,'Base de datos'!$A$3:$K$24,9,FALSE),"")&lt;&gt;"",IFERROR(VLOOKUP($B194,'Base de datos'!$A$3:$K$24,9,FALSE),"")&lt;&gt;0)),"",IFERROR($E194*$C194/$I194,""))</f>
        <v/>
      </c>
      <c r="N194" s="6" t="str">
        <f>IF(OR(OR(UPPER(IFERROR(VLOOKUP($B194,'Base de datos'!$A$3:$K$24,11,FALSE),""))="NO",ISNUMBER(SEARCH("no sometida",IFERROR(VLOOKUP($B194,'Base de datos'!$A$3:$K$24,10,FALSE),""))),ISNUMBER(SEARCH("no fiscal",IFERROR(VLOOKUP($B194,'Base de datos'!$A$3:$K$24,10,FALSE),"")))),OR(ISNUMBER(SEARCH("Hach",$B194)),ISNUMBER(SEARCH("Ketamina",$B194))),AND(IFERROR(VLOOKUP($B194,'Base de datos'!$A$3:$K$24,9,FALSE),"")&lt;&gt;"",IFERROR(VLOOKUP($B194,'Base de datos'!$A$3:$K$24,9,FALSE),"")&lt;&gt;0)),"",IFERROR($E194*$C194/IFERROR(VLOOKUP($B194,'Base de datos'!$A$3:$K$24,5,FALSE),0),""))</f>
        <v/>
      </c>
      <c r="O194" s="6" t="str">
        <f>IF(OR(OR(UPPER(IFERROR(VLOOKUP($B194,'Base de datos'!$A$3:$K$24,11,FALSE),""))="NO",ISNUMBER(SEARCH("no sometida",IFERROR(VLOOKUP($B194,'Base de datos'!$A$3:$K$24,10,FALSE),""))),ISNUMBER(SEARCH("no fiscal",IFERROR(VLOOKUP($B194,'Base de datos'!$A$3:$K$24,10,FALSE),"")))),OR(ISNUMBER(SEARCH("Hach",$B194)),ISNUMBER(SEARCH("Ketamina",$B194))),AND(IFERROR(VLOOKUP($B194,'Base de datos'!$A$3:$K$24,9,FALSE),"")&lt;&gt;"",IFERROR(VLOOKUP($B194,'Base de datos'!$A$3:$K$24,9,FALSE),"")&lt;&gt;0)),"",IFERROR((($E194*$C194/IFERROR(VLOOKUP($B194,'Base de datos'!$A$3:$K$24,3,FALSE),0))*1000)/IFERROR(VLOOKUP($B194,'Base de datos'!$A$3:$K$24,2,FALSE),0),""))</f>
        <v/>
      </c>
    </row>
    <row r="195" spans="1:15" x14ac:dyDescent="0.25">
      <c r="A195" s="4"/>
      <c r="B195" s="4"/>
      <c r="C195" s="5" t="str">
        <f>IFERROR(VLOOKUP($B195,'Base de datos'!$A$3:$K$24,3,FALSE),"")</f>
        <v/>
      </c>
      <c r="D195" s="4" t="str">
        <f t="shared" si="5"/>
        <v/>
      </c>
      <c r="E195" s="6"/>
      <c r="F195" s="7" t="str">
        <f>IF($B195="","",IF(OR(UPPER(IFERROR(VLOOKUP($B195,'Base de datos'!$A$3:$K$24,11,FALSE),""))="NO",ISNUMBER(SEARCH("no sometida",IFERROR(VLOOKUP($B195,'Base de datos'!$A$3:$K$24,10,FALSE),""))),ISNUMBER(SEARCH("no fiscal",IFERROR(VLOOKUP($B195,'Base de datos'!$A$3:$K$24,10,FALSE),"")))),"",IF(OR(OR(ISNUMBER(SEARCH("Hach",$B195)),ISNUMBER(SEARCH("Ketamina",$B195))),AND(IFERROR(VLOOKUP($B195,'Base de datos'!$A$3:$K$24,9,FALSE),"")&lt;&gt;"",IFERROR(VLOOKUP($B195,'Base de datos'!$A$3:$K$24,9,FALSE),"")&lt;&gt;0)),"",IFERROR($M195*VLOOKUP($B195,'Base de datos'!$A$3:$K$24,8,FALSE)/1000,""))))</f>
        <v/>
      </c>
      <c r="G195" s="7" t="str">
        <f>IF($B195="","",IF(OR(UPPER(IFERROR(VLOOKUP($B195,'Base de datos'!$A$3:$K$24,11,FALSE),""))="NO",ISNUMBER(SEARCH("no sometida",IFERROR(VLOOKUP($B195,'Base de datos'!$A$3:$K$24,10,FALSE),""))),ISNUMBER(SEARCH("no fiscal",IFERROR(VLOOKUP($B195,'Base de datos'!$A$3:$K$24,10,FALSE),"")))),"",IFERROR(IF(OR(ISNUMBER(SEARCH("Hach",$B195)),ISNUMBER(SEARCH("Ketamina",$B195))),IF(VLOOKUP($B195,'Base de datos'!$A$3:$K$24,6,FALSE)="","",$E195*VLOOKUP($B195,'Base de datos'!$A$3:$K$24,6,FALSE)),IF(AND(IFERROR(VLOOKUP($B195,'Base de datos'!$A$3:$K$24,9,FALSE),"")&lt;&gt;"",IFERROR(VLOOKUP($B195,'Base de datos'!$A$3:$K$24,9,FALSE),"")&lt;&gt;0),"",IF(VLOOKUP($B195,'Base de datos'!$A$3:$K$24,6,FALSE)="","",$N195*VLOOKUP($B195,'Base de datos'!$A$3:$K$24,6,FALSE)))),"")))</f>
        <v/>
      </c>
      <c r="H195" s="7" t="str">
        <f>IF($B195="","",IF(OR(UPPER(IFERROR(VLOOKUP($B195,'Base de datos'!$A$3:$K$24,11,FALSE),""))="NO",ISNUMBER(SEARCH("no sometida",IFERROR(VLOOKUP($B195,'Base de datos'!$A$3:$K$24,10,FALSE),""))),ISNUMBER(SEARCH("no fiscal",IFERROR(VLOOKUP($B195,'Base de datos'!$A$3:$K$24,10,FALSE),"")))),"",IF(OR(ISNUMBER(SEARCH("Hach",$B195)),ISNUMBER(SEARCH("Ketamina",$B195))),"",IF(AND(IFERROR(VLOOKUP($B195,'Base de datos'!$A$3:$K$24,9,FALSE),"")&lt;&gt;"",IFERROR(VLOOKUP($B195,'Base de datos'!$A$3:$K$24,9,FALSE),"")&lt;&gt;0),$E195*IFERROR(VLOOKUP($B195,'Base de datos'!$A$3:$K$24,9,FALSE),""),IFERROR($O195*VLOOKUP($B195,'Base de datos'!$A$3:$K$24,4,FALSE),"")))))</f>
        <v/>
      </c>
      <c r="I195" s="5" t="str">
        <f>IFERROR(VLOOKUP($B195,'Base de datos'!$A$3:$K$24,7,FALSE),"")</f>
        <v/>
      </c>
      <c r="J195" s="13" t="str">
        <f>IFERROR(VLOOKUP($B195,'Base de datos'!$A$3:$K$24,10,FALSE),"")</f>
        <v/>
      </c>
      <c r="K195" s="6"/>
      <c r="L195" s="4"/>
      <c r="M195" s="6" t="str">
        <f>IF(OR(OR(UPPER(IFERROR(VLOOKUP($B195,'Base de datos'!$A$3:$K$24,11,FALSE),""))="NO",ISNUMBER(SEARCH("no sometida",IFERROR(VLOOKUP($B195,'Base de datos'!$A$3:$K$24,10,FALSE),""))),ISNUMBER(SEARCH("no fiscal",IFERROR(VLOOKUP($B195,'Base de datos'!$A$3:$K$24,10,FALSE),"")))),OR(ISNUMBER(SEARCH("Hach",$B195)),ISNUMBER(SEARCH("Ketamina",$B195))),AND(IFERROR(VLOOKUP($B195,'Base de datos'!$A$3:$K$24,9,FALSE),"")&lt;&gt;"",IFERROR(VLOOKUP($B195,'Base de datos'!$A$3:$K$24,9,FALSE),"")&lt;&gt;0)),"",IFERROR($E195*$C195/$I195,""))</f>
        <v/>
      </c>
      <c r="N195" s="6" t="str">
        <f>IF(OR(OR(UPPER(IFERROR(VLOOKUP($B195,'Base de datos'!$A$3:$K$24,11,FALSE),""))="NO",ISNUMBER(SEARCH("no sometida",IFERROR(VLOOKUP($B195,'Base de datos'!$A$3:$K$24,10,FALSE),""))),ISNUMBER(SEARCH("no fiscal",IFERROR(VLOOKUP($B195,'Base de datos'!$A$3:$K$24,10,FALSE),"")))),OR(ISNUMBER(SEARCH("Hach",$B195)),ISNUMBER(SEARCH("Ketamina",$B195))),AND(IFERROR(VLOOKUP($B195,'Base de datos'!$A$3:$K$24,9,FALSE),"")&lt;&gt;"",IFERROR(VLOOKUP($B195,'Base de datos'!$A$3:$K$24,9,FALSE),"")&lt;&gt;0)),"",IFERROR($E195*$C195/IFERROR(VLOOKUP($B195,'Base de datos'!$A$3:$K$24,5,FALSE),0),""))</f>
        <v/>
      </c>
      <c r="O195" s="6" t="str">
        <f>IF(OR(OR(UPPER(IFERROR(VLOOKUP($B195,'Base de datos'!$A$3:$K$24,11,FALSE),""))="NO",ISNUMBER(SEARCH("no sometida",IFERROR(VLOOKUP($B195,'Base de datos'!$A$3:$K$24,10,FALSE),""))),ISNUMBER(SEARCH("no fiscal",IFERROR(VLOOKUP($B195,'Base de datos'!$A$3:$K$24,10,FALSE),"")))),OR(ISNUMBER(SEARCH("Hach",$B195)),ISNUMBER(SEARCH("Ketamina",$B195))),AND(IFERROR(VLOOKUP($B195,'Base de datos'!$A$3:$K$24,9,FALSE),"")&lt;&gt;"",IFERROR(VLOOKUP($B195,'Base de datos'!$A$3:$K$24,9,FALSE),"")&lt;&gt;0)),"",IFERROR((($E195*$C195/IFERROR(VLOOKUP($B195,'Base de datos'!$A$3:$K$24,3,FALSE),0))*1000)/IFERROR(VLOOKUP($B195,'Base de datos'!$A$3:$K$24,2,FALSE),0),""))</f>
        <v/>
      </c>
    </row>
    <row r="196" spans="1:15" x14ac:dyDescent="0.25">
      <c r="A196" s="4"/>
      <c r="B196" s="4"/>
      <c r="C196" s="5" t="str">
        <f>IFERROR(VLOOKUP($B196,'Base de datos'!$A$3:$K$24,3,FALSE),"")</f>
        <v/>
      </c>
      <c r="D196" s="4" t="str">
        <f t="shared" si="5"/>
        <v/>
      </c>
      <c r="E196" s="6"/>
      <c r="F196" s="7" t="str">
        <f>IF($B196="","",IF(OR(UPPER(IFERROR(VLOOKUP($B196,'Base de datos'!$A$3:$K$24,11,FALSE),""))="NO",ISNUMBER(SEARCH("no sometida",IFERROR(VLOOKUP($B196,'Base de datos'!$A$3:$K$24,10,FALSE),""))),ISNUMBER(SEARCH("no fiscal",IFERROR(VLOOKUP($B196,'Base de datos'!$A$3:$K$24,10,FALSE),"")))),"",IF(OR(OR(ISNUMBER(SEARCH("Hach",$B196)),ISNUMBER(SEARCH("Ketamina",$B196))),AND(IFERROR(VLOOKUP($B196,'Base de datos'!$A$3:$K$24,9,FALSE),"")&lt;&gt;"",IFERROR(VLOOKUP($B196,'Base de datos'!$A$3:$K$24,9,FALSE),"")&lt;&gt;0)),"",IFERROR($M196*VLOOKUP($B196,'Base de datos'!$A$3:$K$24,8,FALSE)/1000,""))))</f>
        <v/>
      </c>
      <c r="G196" s="7" t="str">
        <f>IF($B196="","",IF(OR(UPPER(IFERROR(VLOOKUP($B196,'Base de datos'!$A$3:$K$24,11,FALSE),""))="NO",ISNUMBER(SEARCH("no sometida",IFERROR(VLOOKUP($B196,'Base de datos'!$A$3:$K$24,10,FALSE),""))),ISNUMBER(SEARCH("no fiscal",IFERROR(VLOOKUP($B196,'Base de datos'!$A$3:$K$24,10,FALSE),"")))),"",IFERROR(IF(OR(ISNUMBER(SEARCH("Hach",$B196)),ISNUMBER(SEARCH("Ketamina",$B196))),IF(VLOOKUP($B196,'Base de datos'!$A$3:$K$24,6,FALSE)="","",$E196*VLOOKUP($B196,'Base de datos'!$A$3:$K$24,6,FALSE)),IF(AND(IFERROR(VLOOKUP($B196,'Base de datos'!$A$3:$K$24,9,FALSE),"")&lt;&gt;"",IFERROR(VLOOKUP($B196,'Base de datos'!$A$3:$K$24,9,FALSE),"")&lt;&gt;0),"",IF(VLOOKUP($B196,'Base de datos'!$A$3:$K$24,6,FALSE)="","",$N196*VLOOKUP($B196,'Base de datos'!$A$3:$K$24,6,FALSE)))),"")))</f>
        <v/>
      </c>
      <c r="H196" s="7" t="str">
        <f>IF($B196="","",IF(OR(UPPER(IFERROR(VLOOKUP($B196,'Base de datos'!$A$3:$K$24,11,FALSE),""))="NO",ISNUMBER(SEARCH("no sometida",IFERROR(VLOOKUP($B196,'Base de datos'!$A$3:$K$24,10,FALSE),""))),ISNUMBER(SEARCH("no fiscal",IFERROR(VLOOKUP($B196,'Base de datos'!$A$3:$K$24,10,FALSE),"")))),"",IF(OR(ISNUMBER(SEARCH("Hach",$B196)),ISNUMBER(SEARCH("Ketamina",$B196))),"",IF(AND(IFERROR(VLOOKUP($B196,'Base de datos'!$A$3:$K$24,9,FALSE),"")&lt;&gt;"",IFERROR(VLOOKUP($B196,'Base de datos'!$A$3:$K$24,9,FALSE),"")&lt;&gt;0),$E196*IFERROR(VLOOKUP($B196,'Base de datos'!$A$3:$K$24,9,FALSE),""),IFERROR($O196*VLOOKUP($B196,'Base de datos'!$A$3:$K$24,4,FALSE),"")))))</f>
        <v/>
      </c>
      <c r="I196" s="5" t="str">
        <f>IFERROR(VLOOKUP($B196,'Base de datos'!$A$3:$K$24,7,FALSE),"")</f>
        <v/>
      </c>
      <c r="J196" s="13" t="str">
        <f>IFERROR(VLOOKUP($B196,'Base de datos'!$A$3:$K$24,10,FALSE),"")</f>
        <v/>
      </c>
      <c r="K196" s="6"/>
      <c r="L196" s="4"/>
      <c r="M196" s="6" t="str">
        <f>IF(OR(OR(UPPER(IFERROR(VLOOKUP($B196,'Base de datos'!$A$3:$K$24,11,FALSE),""))="NO",ISNUMBER(SEARCH("no sometida",IFERROR(VLOOKUP($B196,'Base de datos'!$A$3:$K$24,10,FALSE),""))),ISNUMBER(SEARCH("no fiscal",IFERROR(VLOOKUP($B196,'Base de datos'!$A$3:$K$24,10,FALSE),"")))),OR(ISNUMBER(SEARCH("Hach",$B196)),ISNUMBER(SEARCH("Ketamina",$B196))),AND(IFERROR(VLOOKUP($B196,'Base de datos'!$A$3:$K$24,9,FALSE),"")&lt;&gt;"",IFERROR(VLOOKUP($B196,'Base de datos'!$A$3:$K$24,9,FALSE),"")&lt;&gt;0)),"",IFERROR($E196*$C196/$I196,""))</f>
        <v/>
      </c>
      <c r="N196" s="6" t="str">
        <f>IF(OR(OR(UPPER(IFERROR(VLOOKUP($B196,'Base de datos'!$A$3:$K$24,11,FALSE),""))="NO",ISNUMBER(SEARCH("no sometida",IFERROR(VLOOKUP($B196,'Base de datos'!$A$3:$K$24,10,FALSE),""))),ISNUMBER(SEARCH("no fiscal",IFERROR(VLOOKUP($B196,'Base de datos'!$A$3:$K$24,10,FALSE),"")))),OR(ISNUMBER(SEARCH("Hach",$B196)),ISNUMBER(SEARCH("Ketamina",$B196))),AND(IFERROR(VLOOKUP($B196,'Base de datos'!$A$3:$K$24,9,FALSE),"")&lt;&gt;"",IFERROR(VLOOKUP($B196,'Base de datos'!$A$3:$K$24,9,FALSE),"")&lt;&gt;0)),"",IFERROR($E196*$C196/IFERROR(VLOOKUP($B196,'Base de datos'!$A$3:$K$24,5,FALSE),0),""))</f>
        <v/>
      </c>
      <c r="O196" s="6" t="str">
        <f>IF(OR(OR(UPPER(IFERROR(VLOOKUP($B196,'Base de datos'!$A$3:$K$24,11,FALSE),""))="NO",ISNUMBER(SEARCH("no sometida",IFERROR(VLOOKUP($B196,'Base de datos'!$A$3:$K$24,10,FALSE),""))),ISNUMBER(SEARCH("no fiscal",IFERROR(VLOOKUP($B196,'Base de datos'!$A$3:$K$24,10,FALSE),"")))),OR(ISNUMBER(SEARCH("Hach",$B196)),ISNUMBER(SEARCH("Ketamina",$B196))),AND(IFERROR(VLOOKUP($B196,'Base de datos'!$A$3:$K$24,9,FALSE),"")&lt;&gt;"",IFERROR(VLOOKUP($B196,'Base de datos'!$A$3:$K$24,9,FALSE),"")&lt;&gt;0)),"",IFERROR((($E196*$C196/IFERROR(VLOOKUP($B196,'Base de datos'!$A$3:$K$24,3,FALSE),0))*1000)/IFERROR(VLOOKUP($B196,'Base de datos'!$A$3:$K$24,2,FALSE),0),""))</f>
        <v/>
      </c>
    </row>
    <row r="197" spans="1:15" x14ac:dyDescent="0.25">
      <c r="A197" s="4"/>
      <c r="B197" s="4"/>
      <c r="C197" s="5" t="str">
        <f>IFERROR(VLOOKUP($B197,'Base de datos'!$A$3:$K$24,3,FALSE),"")</f>
        <v/>
      </c>
      <c r="D197" s="4" t="str">
        <f t="shared" ref="D197:D204" si="6">IF($B197="","",$B197)</f>
        <v/>
      </c>
      <c r="E197" s="6"/>
      <c r="F197" s="7" t="str">
        <f>IF($B197="","",IF(OR(UPPER(IFERROR(VLOOKUP($B197,'Base de datos'!$A$3:$K$24,11,FALSE),""))="NO",ISNUMBER(SEARCH("no sometida",IFERROR(VLOOKUP($B197,'Base de datos'!$A$3:$K$24,10,FALSE),""))),ISNUMBER(SEARCH("no fiscal",IFERROR(VLOOKUP($B197,'Base de datos'!$A$3:$K$24,10,FALSE),"")))),"",IF(OR(OR(ISNUMBER(SEARCH("Hach",$B197)),ISNUMBER(SEARCH("Ketamina",$B197))),AND(IFERROR(VLOOKUP($B197,'Base de datos'!$A$3:$K$24,9,FALSE),"")&lt;&gt;"",IFERROR(VLOOKUP($B197,'Base de datos'!$A$3:$K$24,9,FALSE),"")&lt;&gt;0)),"",IFERROR($M197*VLOOKUP($B197,'Base de datos'!$A$3:$K$24,8,FALSE)/1000,""))))</f>
        <v/>
      </c>
      <c r="G197" s="7" t="str">
        <f>IF($B197="","",IF(OR(UPPER(IFERROR(VLOOKUP($B197,'Base de datos'!$A$3:$K$24,11,FALSE),""))="NO",ISNUMBER(SEARCH("no sometida",IFERROR(VLOOKUP($B197,'Base de datos'!$A$3:$K$24,10,FALSE),""))),ISNUMBER(SEARCH("no fiscal",IFERROR(VLOOKUP($B197,'Base de datos'!$A$3:$K$24,10,FALSE),"")))),"",IFERROR(IF(OR(ISNUMBER(SEARCH("Hach",$B197)),ISNUMBER(SEARCH("Ketamina",$B197))),IF(VLOOKUP($B197,'Base de datos'!$A$3:$K$24,6,FALSE)="","",$E197*VLOOKUP($B197,'Base de datos'!$A$3:$K$24,6,FALSE)),IF(AND(IFERROR(VLOOKUP($B197,'Base de datos'!$A$3:$K$24,9,FALSE),"")&lt;&gt;"",IFERROR(VLOOKUP($B197,'Base de datos'!$A$3:$K$24,9,FALSE),"")&lt;&gt;0),"",IF(VLOOKUP($B197,'Base de datos'!$A$3:$K$24,6,FALSE)="","",$N197*VLOOKUP($B197,'Base de datos'!$A$3:$K$24,6,FALSE)))),"")))</f>
        <v/>
      </c>
      <c r="H197" s="7" t="str">
        <f>IF($B197="","",IF(OR(UPPER(IFERROR(VLOOKUP($B197,'Base de datos'!$A$3:$K$24,11,FALSE),""))="NO",ISNUMBER(SEARCH("no sometida",IFERROR(VLOOKUP($B197,'Base de datos'!$A$3:$K$24,10,FALSE),""))),ISNUMBER(SEARCH("no fiscal",IFERROR(VLOOKUP($B197,'Base de datos'!$A$3:$K$24,10,FALSE),"")))),"",IF(OR(ISNUMBER(SEARCH("Hach",$B197)),ISNUMBER(SEARCH("Ketamina",$B197))),"",IF(AND(IFERROR(VLOOKUP($B197,'Base de datos'!$A$3:$K$24,9,FALSE),"")&lt;&gt;"",IFERROR(VLOOKUP($B197,'Base de datos'!$A$3:$K$24,9,FALSE),"")&lt;&gt;0),$E197*IFERROR(VLOOKUP($B197,'Base de datos'!$A$3:$K$24,9,FALSE),""),IFERROR($O197*VLOOKUP($B197,'Base de datos'!$A$3:$K$24,4,FALSE),"")))))</f>
        <v/>
      </c>
      <c r="I197" s="5" t="str">
        <f>IFERROR(VLOOKUP($B197,'Base de datos'!$A$3:$K$24,7,FALSE),"")</f>
        <v/>
      </c>
      <c r="J197" s="13" t="str">
        <f>IFERROR(VLOOKUP($B197,'Base de datos'!$A$3:$K$24,10,FALSE),"")</f>
        <v/>
      </c>
      <c r="K197" s="6"/>
      <c r="L197" s="4"/>
      <c r="M197" s="6" t="str">
        <f>IF(OR(OR(UPPER(IFERROR(VLOOKUP($B197,'Base de datos'!$A$3:$K$24,11,FALSE),""))="NO",ISNUMBER(SEARCH("no sometida",IFERROR(VLOOKUP($B197,'Base de datos'!$A$3:$K$24,10,FALSE),""))),ISNUMBER(SEARCH("no fiscal",IFERROR(VLOOKUP($B197,'Base de datos'!$A$3:$K$24,10,FALSE),"")))),OR(ISNUMBER(SEARCH("Hach",$B197)),ISNUMBER(SEARCH("Ketamina",$B197))),AND(IFERROR(VLOOKUP($B197,'Base de datos'!$A$3:$K$24,9,FALSE),"")&lt;&gt;"",IFERROR(VLOOKUP($B197,'Base de datos'!$A$3:$K$24,9,FALSE),"")&lt;&gt;0)),"",IFERROR($E197*$C197/$I197,""))</f>
        <v/>
      </c>
      <c r="N197" s="6" t="str">
        <f>IF(OR(OR(UPPER(IFERROR(VLOOKUP($B197,'Base de datos'!$A$3:$K$24,11,FALSE),""))="NO",ISNUMBER(SEARCH("no sometida",IFERROR(VLOOKUP($B197,'Base de datos'!$A$3:$K$24,10,FALSE),""))),ISNUMBER(SEARCH("no fiscal",IFERROR(VLOOKUP($B197,'Base de datos'!$A$3:$K$24,10,FALSE),"")))),OR(ISNUMBER(SEARCH("Hach",$B197)),ISNUMBER(SEARCH("Ketamina",$B197))),AND(IFERROR(VLOOKUP($B197,'Base de datos'!$A$3:$K$24,9,FALSE),"")&lt;&gt;"",IFERROR(VLOOKUP($B197,'Base de datos'!$A$3:$K$24,9,FALSE),"")&lt;&gt;0)),"",IFERROR($E197*$C197/IFERROR(VLOOKUP($B197,'Base de datos'!$A$3:$K$24,5,FALSE),0),""))</f>
        <v/>
      </c>
      <c r="O197" s="6" t="str">
        <f>IF(OR(OR(UPPER(IFERROR(VLOOKUP($B197,'Base de datos'!$A$3:$K$24,11,FALSE),""))="NO",ISNUMBER(SEARCH("no sometida",IFERROR(VLOOKUP($B197,'Base de datos'!$A$3:$K$24,10,FALSE),""))),ISNUMBER(SEARCH("no fiscal",IFERROR(VLOOKUP($B197,'Base de datos'!$A$3:$K$24,10,FALSE),"")))),OR(ISNUMBER(SEARCH("Hach",$B197)),ISNUMBER(SEARCH("Ketamina",$B197))),AND(IFERROR(VLOOKUP($B197,'Base de datos'!$A$3:$K$24,9,FALSE),"")&lt;&gt;"",IFERROR(VLOOKUP($B197,'Base de datos'!$A$3:$K$24,9,FALSE),"")&lt;&gt;0)),"",IFERROR((($E197*$C197/IFERROR(VLOOKUP($B197,'Base de datos'!$A$3:$K$24,3,FALSE),0))*1000)/IFERROR(VLOOKUP($B197,'Base de datos'!$A$3:$K$24,2,FALSE),0),""))</f>
        <v/>
      </c>
    </row>
    <row r="198" spans="1:15" x14ac:dyDescent="0.25">
      <c r="A198" s="4"/>
      <c r="B198" s="4"/>
      <c r="C198" s="5" t="str">
        <f>IFERROR(VLOOKUP($B198,'Base de datos'!$A$3:$K$24,3,FALSE),"")</f>
        <v/>
      </c>
      <c r="D198" s="4" t="str">
        <f t="shared" si="6"/>
        <v/>
      </c>
      <c r="E198" s="6"/>
      <c r="F198" s="7" t="str">
        <f>IF($B198="","",IF(OR(UPPER(IFERROR(VLOOKUP($B198,'Base de datos'!$A$3:$K$24,11,FALSE),""))="NO",ISNUMBER(SEARCH("no sometida",IFERROR(VLOOKUP($B198,'Base de datos'!$A$3:$K$24,10,FALSE),""))),ISNUMBER(SEARCH("no fiscal",IFERROR(VLOOKUP($B198,'Base de datos'!$A$3:$K$24,10,FALSE),"")))),"",IF(OR(OR(ISNUMBER(SEARCH("Hach",$B198)),ISNUMBER(SEARCH("Ketamina",$B198))),AND(IFERROR(VLOOKUP($B198,'Base de datos'!$A$3:$K$24,9,FALSE),"")&lt;&gt;"",IFERROR(VLOOKUP($B198,'Base de datos'!$A$3:$K$24,9,FALSE),"")&lt;&gt;0)),"",IFERROR($M198*VLOOKUP($B198,'Base de datos'!$A$3:$K$24,8,FALSE)/1000,""))))</f>
        <v/>
      </c>
      <c r="G198" s="7" t="str">
        <f>IF($B198="","",IF(OR(UPPER(IFERROR(VLOOKUP($B198,'Base de datos'!$A$3:$K$24,11,FALSE),""))="NO",ISNUMBER(SEARCH("no sometida",IFERROR(VLOOKUP($B198,'Base de datos'!$A$3:$K$24,10,FALSE),""))),ISNUMBER(SEARCH("no fiscal",IFERROR(VLOOKUP($B198,'Base de datos'!$A$3:$K$24,10,FALSE),"")))),"",IFERROR(IF(OR(ISNUMBER(SEARCH("Hach",$B198)),ISNUMBER(SEARCH("Ketamina",$B198))),IF(VLOOKUP($B198,'Base de datos'!$A$3:$K$24,6,FALSE)="","",$E198*VLOOKUP($B198,'Base de datos'!$A$3:$K$24,6,FALSE)),IF(AND(IFERROR(VLOOKUP($B198,'Base de datos'!$A$3:$K$24,9,FALSE),"")&lt;&gt;"",IFERROR(VLOOKUP($B198,'Base de datos'!$A$3:$K$24,9,FALSE),"")&lt;&gt;0),"",IF(VLOOKUP($B198,'Base de datos'!$A$3:$K$24,6,FALSE)="","",$N198*VLOOKUP($B198,'Base de datos'!$A$3:$K$24,6,FALSE)))),"")))</f>
        <v/>
      </c>
      <c r="H198" s="7" t="str">
        <f>IF($B198="","",IF(OR(UPPER(IFERROR(VLOOKUP($B198,'Base de datos'!$A$3:$K$24,11,FALSE),""))="NO",ISNUMBER(SEARCH("no sometida",IFERROR(VLOOKUP($B198,'Base de datos'!$A$3:$K$24,10,FALSE),""))),ISNUMBER(SEARCH("no fiscal",IFERROR(VLOOKUP($B198,'Base de datos'!$A$3:$K$24,10,FALSE),"")))),"",IF(OR(ISNUMBER(SEARCH("Hach",$B198)),ISNUMBER(SEARCH("Ketamina",$B198))),"",IF(AND(IFERROR(VLOOKUP($B198,'Base de datos'!$A$3:$K$24,9,FALSE),"")&lt;&gt;"",IFERROR(VLOOKUP($B198,'Base de datos'!$A$3:$K$24,9,FALSE),"")&lt;&gt;0),$E198*IFERROR(VLOOKUP($B198,'Base de datos'!$A$3:$K$24,9,FALSE),""),IFERROR($O198*VLOOKUP($B198,'Base de datos'!$A$3:$K$24,4,FALSE),"")))))</f>
        <v/>
      </c>
      <c r="I198" s="5" t="str">
        <f>IFERROR(VLOOKUP($B198,'Base de datos'!$A$3:$K$24,7,FALSE),"")</f>
        <v/>
      </c>
      <c r="J198" s="13" t="str">
        <f>IFERROR(VLOOKUP($B198,'Base de datos'!$A$3:$K$24,10,FALSE),"")</f>
        <v/>
      </c>
      <c r="K198" s="6"/>
      <c r="L198" s="4"/>
      <c r="M198" s="6" t="str">
        <f>IF(OR(OR(UPPER(IFERROR(VLOOKUP($B198,'Base de datos'!$A$3:$K$24,11,FALSE),""))="NO",ISNUMBER(SEARCH("no sometida",IFERROR(VLOOKUP($B198,'Base de datos'!$A$3:$K$24,10,FALSE),""))),ISNUMBER(SEARCH("no fiscal",IFERROR(VLOOKUP($B198,'Base de datos'!$A$3:$K$24,10,FALSE),"")))),OR(ISNUMBER(SEARCH("Hach",$B198)),ISNUMBER(SEARCH("Ketamina",$B198))),AND(IFERROR(VLOOKUP($B198,'Base de datos'!$A$3:$K$24,9,FALSE),"")&lt;&gt;"",IFERROR(VLOOKUP($B198,'Base de datos'!$A$3:$K$24,9,FALSE),"")&lt;&gt;0)),"",IFERROR($E198*$C198/$I198,""))</f>
        <v/>
      </c>
      <c r="N198" s="6" t="str">
        <f>IF(OR(OR(UPPER(IFERROR(VLOOKUP($B198,'Base de datos'!$A$3:$K$24,11,FALSE),""))="NO",ISNUMBER(SEARCH("no sometida",IFERROR(VLOOKUP($B198,'Base de datos'!$A$3:$K$24,10,FALSE),""))),ISNUMBER(SEARCH("no fiscal",IFERROR(VLOOKUP($B198,'Base de datos'!$A$3:$K$24,10,FALSE),"")))),OR(ISNUMBER(SEARCH("Hach",$B198)),ISNUMBER(SEARCH("Ketamina",$B198))),AND(IFERROR(VLOOKUP($B198,'Base de datos'!$A$3:$K$24,9,FALSE),"")&lt;&gt;"",IFERROR(VLOOKUP($B198,'Base de datos'!$A$3:$K$24,9,FALSE),"")&lt;&gt;0)),"",IFERROR($E198*$C198/IFERROR(VLOOKUP($B198,'Base de datos'!$A$3:$K$24,5,FALSE),0),""))</f>
        <v/>
      </c>
      <c r="O198" s="6" t="str">
        <f>IF(OR(OR(UPPER(IFERROR(VLOOKUP($B198,'Base de datos'!$A$3:$K$24,11,FALSE),""))="NO",ISNUMBER(SEARCH("no sometida",IFERROR(VLOOKUP($B198,'Base de datos'!$A$3:$K$24,10,FALSE),""))),ISNUMBER(SEARCH("no fiscal",IFERROR(VLOOKUP($B198,'Base de datos'!$A$3:$K$24,10,FALSE),"")))),OR(ISNUMBER(SEARCH("Hach",$B198)),ISNUMBER(SEARCH("Ketamina",$B198))),AND(IFERROR(VLOOKUP($B198,'Base de datos'!$A$3:$K$24,9,FALSE),"")&lt;&gt;"",IFERROR(VLOOKUP($B198,'Base de datos'!$A$3:$K$24,9,FALSE),"")&lt;&gt;0)),"",IFERROR((($E198*$C198/IFERROR(VLOOKUP($B198,'Base de datos'!$A$3:$K$24,3,FALSE),0))*1000)/IFERROR(VLOOKUP($B198,'Base de datos'!$A$3:$K$24,2,FALSE),0),""))</f>
        <v/>
      </c>
    </row>
    <row r="199" spans="1:15" x14ac:dyDescent="0.25">
      <c r="A199" s="4"/>
      <c r="B199" s="4"/>
      <c r="C199" s="5" t="str">
        <f>IFERROR(VLOOKUP($B199,'Base de datos'!$A$3:$K$24,3,FALSE),"")</f>
        <v/>
      </c>
      <c r="D199" s="4" t="str">
        <f t="shared" si="6"/>
        <v/>
      </c>
      <c r="E199" s="6"/>
      <c r="F199" s="7" t="str">
        <f>IF($B199="","",IF(OR(UPPER(IFERROR(VLOOKUP($B199,'Base de datos'!$A$3:$K$24,11,FALSE),""))="NO",ISNUMBER(SEARCH("no sometida",IFERROR(VLOOKUP($B199,'Base de datos'!$A$3:$K$24,10,FALSE),""))),ISNUMBER(SEARCH("no fiscal",IFERROR(VLOOKUP($B199,'Base de datos'!$A$3:$K$24,10,FALSE),"")))),"",IF(OR(OR(ISNUMBER(SEARCH("Hach",$B199)),ISNUMBER(SEARCH("Ketamina",$B199))),AND(IFERROR(VLOOKUP($B199,'Base de datos'!$A$3:$K$24,9,FALSE),"")&lt;&gt;"",IFERROR(VLOOKUP($B199,'Base de datos'!$A$3:$K$24,9,FALSE),"")&lt;&gt;0)),"",IFERROR($M199*VLOOKUP($B199,'Base de datos'!$A$3:$K$24,8,FALSE)/1000,""))))</f>
        <v/>
      </c>
      <c r="G199" s="7" t="str">
        <f>IF($B199="","",IF(OR(UPPER(IFERROR(VLOOKUP($B199,'Base de datos'!$A$3:$K$24,11,FALSE),""))="NO",ISNUMBER(SEARCH("no sometida",IFERROR(VLOOKUP($B199,'Base de datos'!$A$3:$K$24,10,FALSE),""))),ISNUMBER(SEARCH("no fiscal",IFERROR(VLOOKUP($B199,'Base de datos'!$A$3:$K$24,10,FALSE),"")))),"",IFERROR(IF(OR(ISNUMBER(SEARCH("Hach",$B199)),ISNUMBER(SEARCH("Ketamina",$B199))),IF(VLOOKUP($B199,'Base de datos'!$A$3:$K$24,6,FALSE)="","",$E199*VLOOKUP($B199,'Base de datos'!$A$3:$K$24,6,FALSE)),IF(AND(IFERROR(VLOOKUP($B199,'Base de datos'!$A$3:$K$24,9,FALSE),"")&lt;&gt;"",IFERROR(VLOOKUP($B199,'Base de datos'!$A$3:$K$24,9,FALSE),"")&lt;&gt;0),"",IF(VLOOKUP($B199,'Base de datos'!$A$3:$K$24,6,FALSE)="","",$N199*VLOOKUP($B199,'Base de datos'!$A$3:$K$24,6,FALSE)))),"")))</f>
        <v/>
      </c>
      <c r="H199" s="7" t="str">
        <f>IF($B199="","",IF(OR(UPPER(IFERROR(VLOOKUP($B199,'Base de datos'!$A$3:$K$24,11,FALSE),""))="NO",ISNUMBER(SEARCH("no sometida",IFERROR(VLOOKUP($B199,'Base de datos'!$A$3:$K$24,10,FALSE),""))),ISNUMBER(SEARCH("no fiscal",IFERROR(VLOOKUP($B199,'Base de datos'!$A$3:$K$24,10,FALSE),"")))),"",IF(OR(ISNUMBER(SEARCH("Hach",$B199)),ISNUMBER(SEARCH("Ketamina",$B199))),"",IF(AND(IFERROR(VLOOKUP($B199,'Base de datos'!$A$3:$K$24,9,FALSE),"")&lt;&gt;"",IFERROR(VLOOKUP($B199,'Base de datos'!$A$3:$K$24,9,FALSE),"")&lt;&gt;0),$E199*IFERROR(VLOOKUP($B199,'Base de datos'!$A$3:$K$24,9,FALSE),""),IFERROR($O199*VLOOKUP($B199,'Base de datos'!$A$3:$K$24,4,FALSE),"")))))</f>
        <v/>
      </c>
      <c r="I199" s="5" t="str">
        <f>IFERROR(VLOOKUP($B199,'Base de datos'!$A$3:$K$24,7,FALSE),"")</f>
        <v/>
      </c>
      <c r="J199" s="13" t="str">
        <f>IFERROR(VLOOKUP($B199,'Base de datos'!$A$3:$K$24,10,FALSE),"")</f>
        <v/>
      </c>
      <c r="K199" s="6"/>
      <c r="L199" s="4"/>
      <c r="M199" s="6" t="str">
        <f>IF(OR(OR(UPPER(IFERROR(VLOOKUP($B199,'Base de datos'!$A$3:$K$24,11,FALSE),""))="NO",ISNUMBER(SEARCH("no sometida",IFERROR(VLOOKUP($B199,'Base de datos'!$A$3:$K$24,10,FALSE),""))),ISNUMBER(SEARCH("no fiscal",IFERROR(VLOOKUP($B199,'Base de datos'!$A$3:$K$24,10,FALSE),"")))),OR(ISNUMBER(SEARCH("Hach",$B199)),ISNUMBER(SEARCH("Ketamina",$B199))),AND(IFERROR(VLOOKUP($B199,'Base de datos'!$A$3:$K$24,9,FALSE),"")&lt;&gt;"",IFERROR(VLOOKUP($B199,'Base de datos'!$A$3:$K$24,9,FALSE),"")&lt;&gt;0)),"",IFERROR($E199*$C199/$I199,""))</f>
        <v/>
      </c>
      <c r="N199" s="6" t="str">
        <f>IF(OR(OR(UPPER(IFERROR(VLOOKUP($B199,'Base de datos'!$A$3:$K$24,11,FALSE),""))="NO",ISNUMBER(SEARCH("no sometida",IFERROR(VLOOKUP($B199,'Base de datos'!$A$3:$K$24,10,FALSE),""))),ISNUMBER(SEARCH("no fiscal",IFERROR(VLOOKUP($B199,'Base de datos'!$A$3:$K$24,10,FALSE),"")))),OR(ISNUMBER(SEARCH("Hach",$B199)),ISNUMBER(SEARCH("Ketamina",$B199))),AND(IFERROR(VLOOKUP($B199,'Base de datos'!$A$3:$K$24,9,FALSE),"")&lt;&gt;"",IFERROR(VLOOKUP($B199,'Base de datos'!$A$3:$K$24,9,FALSE),"")&lt;&gt;0)),"",IFERROR($E199*$C199/IFERROR(VLOOKUP($B199,'Base de datos'!$A$3:$K$24,5,FALSE),0),""))</f>
        <v/>
      </c>
      <c r="O199" s="6" t="str">
        <f>IF(OR(OR(UPPER(IFERROR(VLOOKUP($B199,'Base de datos'!$A$3:$K$24,11,FALSE),""))="NO",ISNUMBER(SEARCH("no sometida",IFERROR(VLOOKUP($B199,'Base de datos'!$A$3:$K$24,10,FALSE),""))),ISNUMBER(SEARCH("no fiscal",IFERROR(VLOOKUP($B199,'Base de datos'!$A$3:$K$24,10,FALSE),"")))),OR(ISNUMBER(SEARCH("Hach",$B199)),ISNUMBER(SEARCH("Ketamina",$B199))),AND(IFERROR(VLOOKUP($B199,'Base de datos'!$A$3:$K$24,9,FALSE),"")&lt;&gt;"",IFERROR(VLOOKUP($B199,'Base de datos'!$A$3:$K$24,9,FALSE),"")&lt;&gt;0)),"",IFERROR((($E199*$C199/IFERROR(VLOOKUP($B199,'Base de datos'!$A$3:$K$24,3,FALSE),0))*1000)/IFERROR(VLOOKUP($B199,'Base de datos'!$A$3:$K$24,2,FALSE),0),""))</f>
        <v/>
      </c>
    </row>
    <row r="200" spans="1:15" x14ac:dyDescent="0.25">
      <c r="A200" s="4"/>
      <c r="B200" s="4"/>
      <c r="C200" s="5" t="str">
        <f>IFERROR(VLOOKUP($B200,'Base de datos'!$A$3:$K$24,3,FALSE),"")</f>
        <v/>
      </c>
      <c r="D200" s="4" t="str">
        <f t="shared" si="6"/>
        <v/>
      </c>
      <c r="E200" s="6"/>
      <c r="F200" s="7" t="str">
        <f>IF($B200="","",IF(OR(UPPER(IFERROR(VLOOKUP($B200,'Base de datos'!$A$3:$K$24,11,FALSE),""))="NO",ISNUMBER(SEARCH("no sometida",IFERROR(VLOOKUP($B200,'Base de datos'!$A$3:$K$24,10,FALSE),""))),ISNUMBER(SEARCH("no fiscal",IFERROR(VLOOKUP($B200,'Base de datos'!$A$3:$K$24,10,FALSE),"")))),"",IF(OR(OR(ISNUMBER(SEARCH("Hach",$B200)),ISNUMBER(SEARCH("Ketamina",$B200))),AND(IFERROR(VLOOKUP($B200,'Base de datos'!$A$3:$K$24,9,FALSE),"")&lt;&gt;"",IFERROR(VLOOKUP($B200,'Base de datos'!$A$3:$K$24,9,FALSE),"")&lt;&gt;0)),"",IFERROR($M200*VLOOKUP($B200,'Base de datos'!$A$3:$K$24,8,FALSE)/1000,""))))</f>
        <v/>
      </c>
      <c r="G200" s="7" t="str">
        <f>IF($B200="","",IF(OR(UPPER(IFERROR(VLOOKUP($B200,'Base de datos'!$A$3:$K$24,11,FALSE),""))="NO",ISNUMBER(SEARCH("no sometida",IFERROR(VLOOKUP($B200,'Base de datos'!$A$3:$K$24,10,FALSE),""))),ISNUMBER(SEARCH("no fiscal",IFERROR(VLOOKUP($B200,'Base de datos'!$A$3:$K$24,10,FALSE),"")))),"",IFERROR(IF(OR(ISNUMBER(SEARCH("Hach",$B200)),ISNUMBER(SEARCH("Ketamina",$B200))),IF(VLOOKUP($B200,'Base de datos'!$A$3:$K$24,6,FALSE)="","",$E200*VLOOKUP($B200,'Base de datos'!$A$3:$K$24,6,FALSE)),IF(AND(IFERROR(VLOOKUP($B200,'Base de datos'!$A$3:$K$24,9,FALSE),"")&lt;&gt;"",IFERROR(VLOOKUP($B200,'Base de datos'!$A$3:$K$24,9,FALSE),"")&lt;&gt;0),"",IF(VLOOKUP($B200,'Base de datos'!$A$3:$K$24,6,FALSE)="","",$N200*VLOOKUP($B200,'Base de datos'!$A$3:$K$24,6,FALSE)))),"")))</f>
        <v/>
      </c>
      <c r="H200" s="7" t="str">
        <f>IF($B200="","",IF(OR(UPPER(IFERROR(VLOOKUP($B200,'Base de datos'!$A$3:$K$24,11,FALSE),""))="NO",ISNUMBER(SEARCH("no sometida",IFERROR(VLOOKUP($B200,'Base de datos'!$A$3:$K$24,10,FALSE),""))),ISNUMBER(SEARCH("no fiscal",IFERROR(VLOOKUP($B200,'Base de datos'!$A$3:$K$24,10,FALSE),"")))),"",IF(OR(ISNUMBER(SEARCH("Hach",$B200)),ISNUMBER(SEARCH("Ketamina",$B200))),"",IF(AND(IFERROR(VLOOKUP($B200,'Base de datos'!$A$3:$K$24,9,FALSE),"")&lt;&gt;"",IFERROR(VLOOKUP($B200,'Base de datos'!$A$3:$K$24,9,FALSE),"")&lt;&gt;0),$E200*IFERROR(VLOOKUP($B200,'Base de datos'!$A$3:$K$24,9,FALSE),""),IFERROR($O200*VLOOKUP($B200,'Base de datos'!$A$3:$K$24,4,FALSE),"")))))</f>
        <v/>
      </c>
      <c r="I200" s="5" t="str">
        <f>IFERROR(VLOOKUP($B200,'Base de datos'!$A$3:$K$24,7,FALSE),"")</f>
        <v/>
      </c>
      <c r="J200" s="13" t="str">
        <f>IFERROR(VLOOKUP($B200,'Base de datos'!$A$3:$K$24,10,FALSE),"")</f>
        <v/>
      </c>
      <c r="K200" s="6"/>
      <c r="L200" s="4"/>
      <c r="M200" s="6" t="str">
        <f>IF(OR(OR(UPPER(IFERROR(VLOOKUP($B200,'Base de datos'!$A$3:$K$24,11,FALSE),""))="NO",ISNUMBER(SEARCH("no sometida",IFERROR(VLOOKUP($B200,'Base de datos'!$A$3:$K$24,10,FALSE),""))),ISNUMBER(SEARCH("no fiscal",IFERROR(VLOOKUP($B200,'Base de datos'!$A$3:$K$24,10,FALSE),"")))),OR(ISNUMBER(SEARCH("Hach",$B200)),ISNUMBER(SEARCH("Ketamina",$B200))),AND(IFERROR(VLOOKUP($B200,'Base de datos'!$A$3:$K$24,9,FALSE),"")&lt;&gt;"",IFERROR(VLOOKUP($B200,'Base de datos'!$A$3:$K$24,9,FALSE),"")&lt;&gt;0)),"",IFERROR($E200*$C200/$I200,""))</f>
        <v/>
      </c>
      <c r="N200" s="6" t="str">
        <f>IF(OR(OR(UPPER(IFERROR(VLOOKUP($B200,'Base de datos'!$A$3:$K$24,11,FALSE),""))="NO",ISNUMBER(SEARCH("no sometida",IFERROR(VLOOKUP($B200,'Base de datos'!$A$3:$K$24,10,FALSE),""))),ISNUMBER(SEARCH("no fiscal",IFERROR(VLOOKUP($B200,'Base de datos'!$A$3:$K$24,10,FALSE),"")))),OR(ISNUMBER(SEARCH("Hach",$B200)),ISNUMBER(SEARCH("Ketamina",$B200))),AND(IFERROR(VLOOKUP($B200,'Base de datos'!$A$3:$K$24,9,FALSE),"")&lt;&gt;"",IFERROR(VLOOKUP($B200,'Base de datos'!$A$3:$K$24,9,FALSE),"")&lt;&gt;0)),"",IFERROR($E200*$C200/IFERROR(VLOOKUP($B200,'Base de datos'!$A$3:$K$24,5,FALSE),0),""))</f>
        <v/>
      </c>
      <c r="O200" s="6" t="str">
        <f>IF(OR(OR(UPPER(IFERROR(VLOOKUP($B200,'Base de datos'!$A$3:$K$24,11,FALSE),""))="NO",ISNUMBER(SEARCH("no sometida",IFERROR(VLOOKUP($B200,'Base de datos'!$A$3:$K$24,10,FALSE),""))),ISNUMBER(SEARCH("no fiscal",IFERROR(VLOOKUP($B200,'Base de datos'!$A$3:$K$24,10,FALSE),"")))),OR(ISNUMBER(SEARCH("Hach",$B200)),ISNUMBER(SEARCH("Ketamina",$B200))),AND(IFERROR(VLOOKUP($B200,'Base de datos'!$A$3:$K$24,9,FALSE),"")&lt;&gt;"",IFERROR(VLOOKUP($B200,'Base de datos'!$A$3:$K$24,9,FALSE),"")&lt;&gt;0)),"",IFERROR((($E200*$C200/IFERROR(VLOOKUP($B200,'Base de datos'!$A$3:$K$24,3,FALSE),0))*1000)/IFERROR(VLOOKUP($B200,'Base de datos'!$A$3:$K$24,2,FALSE),0),""))</f>
        <v/>
      </c>
    </row>
    <row r="201" spans="1:15" x14ac:dyDescent="0.25">
      <c r="A201" s="4"/>
      <c r="B201" s="4"/>
      <c r="C201" s="5" t="str">
        <f>IFERROR(VLOOKUP($B201,'Base de datos'!$A$3:$K$24,3,FALSE),"")</f>
        <v/>
      </c>
      <c r="D201" s="4" t="str">
        <f t="shared" si="6"/>
        <v/>
      </c>
      <c r="E201" s="6"/>
      <c r="F201" s="7" t="str">
        <f>IF($B201="","",IF(OR(UPPER(IFERROR(VLOOKUP($B201,'Base de datos'!$A$3:$K$24,11,FALSE),""))="NO",ISNUMBER(SEARCH("no sometida",IFERROR(VLOOKUP($B201,'Base de datos'!$A$3:$K$24,10,FALSE),""))),ISNUMBER(SEARCH("no fiscal",IFERROR(VLOOKUP($B201,'Base de datos'!$A$3:$K$24,10,FALSE),"")))),"",IF(OR(OR(ISNUMBER(SEARCH("Hach",$B201)),ISNUMBER(SEARCH("Ketamina",$B201))),AND(IFERROR(VLOOKUP($B201,'Base de datos'!$A$3:$K$24,9,FALSE),"")&lt;&gt;"",IFERROR(VLOOKUP($B201,'Base de datos'!$A$3:$K$24,9,FALSE),"")&lt;&gt;0)),"",IFERROR($M201*VLOOKUP($B201,'Base de datos'!$A$3:$K$24,8,FALSE)/1000,""))))</f>
        <v/>
      </c>
      <c r="G201" s="7" t="str">
        <f>IF($B201="","",IF(OR(UPPER(IFERROR(VLOOKUP($B201,'Base de datos'!$A$3:$K$24,11,FALSE),""))="NO",ISNUMBER(SEARCH("no sometida",IFERROR(VLOOKUP($B201,'Base de datos'!$A$3:$K$24,10,FALSE),""))),ISNUMBER(SEARCH("no fiscal",IFERROR(VLOOKUP($B201,'Base de datos'!$A$3:$K$24,10,FALSE),"")))),"",IFERROR(IF(OR(ISNUMBER(SEARCH("Hach",$B201)),ISNUMBER(SEARCH("Ketamina",$B201))),IF(VLOOKUP($B201,'Base de datos'!$A$3:$K$24,6,FALSE)="","",$E201*VLOOKUP($B201,'Base de datos'!$A$3:$K$24,6,FALSE)),IF(AND(IFERROR(VLOOKUP($B201,'Base de datos'!$A$3:$K$24,9,FALSE),"")&lt;&gt;"",IFERROR(VLOOKUP($B201,'Base de datos'!$A$3:$K$24,9,FALSE),"")&lt;&gt;0),"",IF(VLOOKUP($B201,'Base de datos'!$A$3:$K$24,6,FALSE)="","",$N201*VLOOKUP($B201,'Base de datos'!$A$3:$K$24,6,FALSE)))),"")))</f>
        <v/>
      </c>
      <c r="H201" s="7" t="str">
        <f>IF($B201="","",IF(OR(UPPER(IFERROR(VLOOKUP($B201,'Base de datos'!$A$3:$K$24,11,FALSE),""))="NO",ISNUMBER(SEARCH("no sometida",IFERROR(VLOOKUP($B201,'Base de datos'!$A$3:$K$24,10,FALSE),""))),ISNUMBER(SEARCH("no fiscal",IFERROR(VLOOKUP($B201,'Base de datos'!$A$3:$K$24,10,FALSE),"")))),"",IF(OR(ISNUMBER(SEARCH("Hach",$B201)),ISNUMBER(SEARCH("Ketamina",$B201))),"",IF(AND(IFERROR(VLOOKUP($B201,'Base de datos'!$A$3:$K$24,9,FALSE),"")&lt;&gt;"",IFERROR(VLOOKUP($B201,'Base de datos'!$A$3:$K$24,9,FALSE),"")&lt;&gt;0),$E201*IFERROR(VLOOKUP($B201,'Base de datos'!$A$3:$K$24,9,FALSE),""),IFERROR($O201*VLOOKUP($B201,'Base de datos'!$A$3:$K$24,4,FALSE),"")))))</f>
        <v/>
      </c>
      <c r="I201" s="5" t="str">
        <f>IFERROR(VLOOKUP($B201,'Base de datos'!$A$3:$K$24,7,FALSE),"")</f>
        <v/>
      </c>
      <c r="J201" s="13" t="str">
        <f>IFERROR(VLOOKUP($B201,'Base de datos'!$A$3:$K$24,10,FALSE),"")</f>
        <v/>
      </c>
      <c r="K201" s="6"/>
      <c r="L201" s="4"/>
      <c r="M201" s="6" t="str">
        <f>IF(OR(OR(UPPER(IFERROR(VLOOKUP($B201,'Base de datos'!$A$3:$K$24,11,FALSE),""))="NO",ISNUMBER(SEARCH("no sometida",IFERROR(VLOOKUP($B201,'Base de datos'!$A$3:$K$24,10,FALSE),""))),ISNUMBER(SEARCH("no fiscal",IFERROR(VLOOKUP($B201,'Base de datos'!$A$3:$K$24,10,FALSE),"")))),OR(ISNUMBER(SEARCH("Hach",$B201)),ISNUMBER(SEARCH("Ketamina",$B201))),AND(IFERROR(VLOOKUP($B201,'Base de datos'!$A$3:$K$24,9,FALSE),"")&lt;&gt;"",IFERROR(VLOOKUP($B201,'Base de datos'!$A$3:$K$24,9,FALSE),"")&lt;&gt;0)),"",IFERROR($E201*$C201/$I201,""))</f>
        <v/>
      </c>
      <c r="N201" s="6" t="str">
        <f>IF(OR(OR(UPPER(IFERROR(VLOOKUP($B201,'Base de datos'!$A$3:$K$24,11,FALSE),""))="NO",ISNUMBER(SEARCH("no sometida",IFERROR(VLOOKUP($B201,'Base de datos'!$A$3:$K$24,10,FALSE),""))),ISNUMBER(SEARCH("no fiscal",IFERROR(VLOOKUP($B201,'Base de datos'!$A$3:$K$24,10,FALSE),"")))),OR(ISNUMBER(SEARCH("Hach",$B201)),ISNUMBER(SEARCH("Ketamina",$B201))),AND(IFERROR(VLOOKUP($B201,'Base de datos'!$A$3:$K$24,9,FALSE),"")&lt;&gt;"",IFERROR(VLOOKUP($B201,'Base de datos'!$A$3:$K$24,9,FALSE),"")&lt;&gt;0)),"",IFERROR($E201*$C201/IFERROR(VLOOKUP($B201,'Base de datos'!$A$3:$K$24,5,FALSE),0),""))</f>
        <v/>
      </c>
      <c r="O201" s="6" t="str">
        <f>IF(OR(OR(UPPER(IFERROR(VLOOKUP($B201,'Base de datos'!$A$3:$K$24,11,FALSE),""))="NO",ISNUMBER(SEARCH("no sometida",IFERROR(VLOOKUP($B201,'Base de datos'!$A$3:$K$24,10,FALSE),""))),ISNUMBER(SEARCH("no fiscal",IFERROR(VLOOKUP($B201,'Base de datos'!$A$3:$K$24,10,FALSE),"")))),OR(ISNUMBER(SEARCH("Hach",$B201)),ISNUMBER(SEARCH("Ketamina",$B201))),AND(IFERROR(VLOOKUP($B201,'Base de datos'!$A$3:$K$24,9,FALSE),"")&lt;&gt;"",IFERROR(VLOOKUP($B201,'Base de datos'!$A$3:$K$24,9,FALSE),"")&lt;&gt;0)),"",IFERROR((($E201*$C201/IFERROR(VLOOKUP($B201,'Base de datos'!$A$3:$K$24,3,FALSE),0))*1000)/IFERROR(VLOOKUP($B201,'Base de datos'!$A$3:$K$24,2,FALSE),0),""))</f>
        <v/>
      </c>
    </row>
    <row r="202" spans="1:15" x14ac:dyDescent="0.25">
      <c r="A202" s="4"/>
      <c r="B202" s="4"/>
      <c r="C202" s="5" t="str">
        <f>IFERROR(VLOOKUP($B202,'Base de datos'!$A$3:$K$24,3,FALSE),"")</f>
        <v/>
      </c>
      <c r="D202" s="4" t="str">
        <f t="shared" si="6"/>
        <v/>
      </c>
      <c r="E202" s="6"/>
      <c r="F202" s="7" t="str">
        <f>IF($B202="","",IF(OR(UPPER(IFERROR(VLOOKUP($B202,'Base de datos'!$A$3:$K$24,11,FALSE),""))="NO",ISNUMBER(SEARCH("no sometida",IFERROR(VLOOKUP($B202,'Base de datos'!$A$3:$K$24,10,FALSE),""))),ISNUMBER(SEARCH("no fiscal",IFERROR(VLOOKUP($B202,'Base de datos'!$A$3:$K$24,10,FALSE),"")))),"",IF(OR(OR(ISNUMBER(SEARCH("Hach",$B202)),ISNUMBER(SEARCH("Ketamina",$B202))),AND(IFERROR(VLOOKUP($B202,'Base de datos'!$A$3:$K$24,9,FALSE),"")&lt;&gt;"",IFERROR(VLOOKUP($B202,'Base de datos'!$A$3:$K$24,9,FALSE),"")&lt;&gt;0)),"",IFERROR($M202*VLOOKUP($B202,'Base de datos'!$A$3:$K$24,8,FALSE)/1000,""))))</f>
        <v/>
      </c>
      <c r="G202" s="7" t="str">
        <f>IF($B202="","",IF(OR(UPPER(IFERROR(VLOOKUP($B202,'Base de datos'!$A$3:$K$24,11,FALSE),""))="NO",ISNUMBER(SEARCH("no sometida",IFERROR(VLOOKUP($B202,'Base de datos'!$A$3:$K$24,10,FALSE),""))),ISNUMBER(SEARCH("no fiscal",IFERROR(VLOOKUP($B202,'Base de datos'!$A$3:$K$24,10,FALSE),"")))),"",IFERROR(IF(OR(ISNUMBER(SEARCH("Hach",$B202)),ISNUMBER(SEARCH("Ketamina",$B202))),IF(VLOOKUP($B202,'Base de datos'!$A$3:$K$24,6,FALSE)="","",$E202*VLOOKUP($B202,'Base de datos'!$A$3:$K$24,6,FALSE)),IF(AND(IFERROR(VLOOKUP($B202,'Base de datos'!$A$3:$K$24,9,FALSE),"")&lt;&gt;"",IFERROR(VLOOKUP($B202,'Base de datos'!$A$3:$K$24,9,FALSE),"")&lt;&gt;0),"",IF(VLOOKUP($B202,'Base de datos'!$A$3:$K$24,6,FALSE)="","",$N202*VLOOKUP($B202,'Base de datos'!$A$3:$K$24,6,FALSE)))),"")))</f>
        <v/>
      </c>
      <c r="H202" s="7" t="str">
        <f>IF($B202="","",IF(OR(UPPER(IFERROR(VLOOKUP($B202,'Base de datos'!$A$3:$K$24,11,FALSE),""))="NO",ISNUMBER(SEARCH("no sometida",IFERROR(VLOOKUP($B202,'Base de datos'!$A$3:$K$24,10,FALSE),""))),ISNUMBER(SEARCH("no fiscal",IFERROR(VLOOKUP($B202,'Base de datos'!$A$3:$K$24,10,FALSE),"")))),"",IF(OR(ISNUMBER(SEARCH("Hach",$B202)),ISNUMBER(SEARCH("Ketamina",$B202))),"",IF(AND(IFERROR(VLOOKUP($B202,'Base de datos'!$A$3:$K$24,9,FALSE),"")&lt;&gt;"",IFERROR(VLOOKUP($B202,'Base de datos'!$A$3:$K$24,9,FALSE),"")&lt;&gt;0),$E202*IFERROR(VLOOKUP($B202,'Base de datos'!$A$3:$K$24,9,FALSE),""),IFERROR($O202*VLOOKUP($B202,'Base de datos'!$A$3:$K$24,4,FALSE),"")))))</f>
        <v/>
      </c>
      <c r="I202" s="5" t="str">
        <f>IFERROR(VLOOKUP($B202,'Base de datos'!$A$3:$K$24,7,FALSE),"")</f>
        <v/>
      </c>
      <c r="J202" s="13" t="str">
        <f>IFERROR(VLOOKUP($B202,'Base de datos'!$A$3:$K$24,10,FALSE),"")</f>
        <v/>
      </c>
      <c r="K202" s="6"/>
      <c r="L202" s="4"/>
      <c r="M202" s="6" t="str">
        <f>IF(OR(OR(UPPER(IFERROR(VLOOKUP($B202,'Base de datos'!$A$3:$K$24,11,FALSE),""))="NO",ISNUMBER(SEARCH("no sometida",IFERROR(VLOOKUP($B202,'Base de datos'!$A$3:$K$24,10,FALSE),""))),ISNUMBER(SEARCH("no fiscal",IFERROR(VLOOKUP($B202,'Base de datos'!$A$3:$K$24,10,FALSE),"")))),OR(ISNUMBER(SEARCH("Hach",$B202)),ISNUMBER(SEARCH("Ketamina",$B202))),AND(IFERROR(VLOOKUP($B202,'Base de datos'!$A$3:$K$24,9,FALSE),"")&lt;&gt;"",IFERROR(VLOOKUP($B202,'Base de datos'!$A$3:$K$24,9,FALSE),"")&lt;&gt;0)),"",IFERROR($E202*$C202/$I202,""))</f>
        <v/>
      </c>
      <c r="N202" s="6" t="str">
        <f>IF(OR(OR(UPPER(IFERROR(VLOOKUP($B202,'Base de datos'!$A$3:$K$24,11,FALSE),""))="NO",ISNUMBER(SEARCH("no sometida",IFERROR(VLOOKUP($B202,'Base de datos'!$A$3:$K$24,10,FALSE),""))),ISNUMBER(SEARCH("no fiscal",IFERROR(VLOOKUP($B202,'Base de datos'!$A$3:$K$24,10,FALSE),"")))),OR(ISNUMBER(SEARCH("Hach",$B202)),ISNUMBER(SEARCH("Ketamina",$B202))),AND(IFERROR(VLOOKUP($B202,'Base de datos'!$A$3:$K$24,9,FALSE),"")&lt;&gt;"",IFERROR(VLOOKUP($B202,'Base de datos'!$A$3:$K$24,9,FALSE),"")&lt;&gt;0)),"",IFERROR($E202*$C202/IFERROR(VLOOKUP($B202,'Base de datos'!$A$3:$K$24,5,FALSE),0),""))</f>
        <v/>
      </c>
      <c r="O202" s="6" t="str">
        <f>IF(OR(OR(UPPER(IFERROR(VLOOKUP($B202,'Base de datos'!$A$3:$K$24,11,FALSE),""))="NO",ISNUMBER(SEARCH("no sometida",IFERROR(VLOOKUP($B202,'Base de datos'!$A$3:$K$24,10,FALSE),""))),ISNUMBER(SEARCH("no fiscal",IFERROR(VLOOKUP($B202,'Base de datos'!$A$3:$K$24,10,FALSE),"")))),OR(ISNUMBER(SEARCH("Hach",$B202)),ISNUMBER(SEARCH("Ketamina",$B202))),AND(IFERROR(VLOOKUP($B202,'Base de datos'!$A$3:$K$24,9,FALSE),"")&lt;&gt;"",IFERROR(VLOOKUP($B202,'Base de datos'!$A$3:$K$24,9,FALSE),"")&lt;&gt;0)),"",IFERROR((($E202*$C202/IFERROR(VLOOKUP($B202,'Base de datos'!$A$3:$K$24,3,FALSE),0))*1000)/IFERROR(VLOOKUP($B202,'Base de datos'!$A$3:$K$24,2,FALSE),0),""))</f>
        <v/>
      </c>
    </row>
    <row r="203" spans="1:15" x14ac:dyDescent="0.25">
      <c r="A203" s="4"/>
      <c r="B203" s="4"/>
      <c r="C203" s="5" t="str">
        <f>IFERROR(VLOOKUP($B203,'Base de datos'!$A$3:$K$24,3,FALSE),"")</f>
        <v/>
      </c>
      <c r="D203" s="4" t="str">
        <f t="shared" si="6"/>
        <v/>
      </c>
      <c r="E203" s="6"/>
      <c r="F203" s="7" t="str">
        <f>IF($B203="","",IF(OR(UPPER(IFERROR(VLOOKUP($B203,'Base de datos'!$A$3:$K$24,11,FALSE),""))="NO",ISNUMBER(SEARCH("no sometida",IFERROR(VLOOKUP($B203,'Base de datos'!$A$3:$K$24,10,FALSE),""))),ISNUMBER(SEARCH("no fiscal",IFERROR(VLOOKUP($B203,'Base de datos'!$A$3:$K$24,10,FALSE),"")))),"",IF(OR(OR(ISNUMBER(SEARCH("Hach",$B203)),ISNUMBER(SEARCH("Ketamina",$B203))),AND(IFERROR(VLOOKUP($B203,'Base de datos'!$A$3:$K$24,9,FALSE),"")&lt;&gt;"",IFERROR(VLOOKUP($B203,'Base de datos'!$A$3:$K$24,9,FALSE),"")&lt;&gt;0)),"",IFERROR($M203*VLOOKUP($B203,'Base de datos'!$A$3:$K$24,8,FALSE)/1000,""))))</f>
        <v/>
      </c>
      <c r="G203" s="7" t="str">
        <f>IF($B203="","",IF(OR(UPPER(IFERROR(VLOOKUP($B203,'Base de datos'!$A$3:$K$24,11,FALSE),""))="NO",ISNUMBER(SEARCH("no sometida",IFERROR(VLOOKUP($B203,'Base de datos'!$A$3:$K$24,10,FALSE),""))),ISNUMBER(SEARCH("no fiscal",IFERROR(VLOOKUP($B203,'Base de datos'!$A$3:$K$24,10,FALSE),"")))),"",IFERROR(IF(OR(ISNUMBER(SEARCH("Hach",$B203)),ISNUMBER(SEARCH("Ketamina",$B203))),IF(VLOOKUP($B203,'Base de datos'!$A$3:$K$24,6,FALSE)="","",$E203*VLOOKUP($B203,'Base de datos'!$A$3:$K$24,6,FALSE)),IF(AND(IFERROR(VLOOKUP($B203,'Base de datos'!$A$3:$K$24,9,FALSE),"")&lt;&gt;"",IFERROR(VLOOKUP($B203,'Base de datos'!$A$3:$K$24,9,FALSE),"")&lt;&gt;0),"",IF(VLOOKUP($B203,'Base de datos'!$A$3:$K$24,6,FALSE)="","",$N203*VLOOKUP($B203,'Base de datos'!$A$3:$K$24,6,FALSE)))),"")))</f>
        <v/>
      </c>
      <c r="H203" s="7" t="str">
        <f>IF($B203="","",IF(OR(UPPER(IFERROR(VLOOKUP($B203,'Base de datos'!$A$3:$K$24,11,FALSE),""))="NO",ISNUMBER(SEARCH("no sometida",IFERROR(VLOOKUP($B203,'Base de datos'!$A$3:$K$24,10,FALSE),""))),ISNUMBER(SEARCH("no fiscal",IFERROR(VLOOKUP($B203,'Base de datos'!$A$3:$K$24,10,FALSE),"")))),"",IF(OR(ISNUMBER(SEARCH("Hach",$B203)),ISNUMBER(SEARCH("Ketamina",$B203))),"",IF(AND(IFERROR(VLOOKUP($B203,'Base de datos'!$A$3:$K$24,9,FALSE),"")&lt;&gt;"",IFERROR(VLOOKUP($B203,'Base de datos'!$A$3:$K$24,9,FALSE),"")&lt;&gt;0),$E203*IFERROR(VLOOKUP($B203,'Base de datos'!$A$3:$K$24,9,FALSE),""),IFERROR($O203*VLOOKUP($B203,'Base de datos'!$A$3:$K$24,4,FALSE),"")))))</f>
        <v/>
      </c>
      <c r="I203" s="5" t="str">
        <f>IFERROR(VLOOKUP($B203,'Base de datos'!$A$3:$K$24,7,FALSE),"")</f>
        <v/>
      </c>
      <c r="J203" s="13" t="str">
        <f>IFERROR(VLOOKUP($B203,'Base de datos'!$A$3:$K$24,10,FALSE),"")</f>
        <v/>
      </c>
      <c r="K203" s="6"/>
      <c r="L203" s="4"/>
      <c r="M203" s="6" t="str">
        <f>IF(OR(OR(UPPER(IFERROR(VLOOKUP($B203,'Base de datos'!$A$3:$K$24,11,FALSE),""))="NO",ISNUMBER(SEARCH("no sometida",IFERROR(VLOOKUP($B203,'Base de datos'!$A$3:$K$24,10,FALSE),""))),ISNUMBER(SEARCH("no fiscal",IFERROR(VLOOKUP($B203,'Base de datos'!$A$3:$K$24,10,FALSE),"")))),OR(ISNUMBER(SEARCH("Hach",$B203)),ISNUMBER(SEARCH("Ketamina",$B203))),AND(IFERROR(VLOOKUP($B203,'Base de datos'!$A$3:$K$24,9,FALSE),"")&lt;&gt;"",IFERROR(VLOOKUP($B203,'Base de datos'!$A$3:$K$24,9,FALSE),"")&lt;&gt;0)),"",IFERROR($E203*$C203/$I203,""))</f>
        <v/>
      </c>
      <c r="N203" s="6" t="str">
        <f>IF(OR(OR(UPPER(IFERROR(VLOOKUP($B203,'Base de datos'!$A$3:$K$24,11,FALSE),""))="NO",ISNUMBER(SEARCH("no sometida",IFERROR(VLOOKUP($B203,'Base de datos'!$A$3:$K$24,10,FALSE),""))),ISNUMBER(SEARCH("no fiscal",IFERROR(VLOOKUP($B203,'Base de datos'!$A$3:$K$24,10,FALSE),"")))),OR(ISNUMBER(SEARCH("Hach",$B203)),ISNUMBER(SEARCH("Ketamina",$B203))),AND(IFERROR(VLOOKUP($B203,'Base de datos'!$A$3:$K$24,9,FALSE),"")&lt;&gt;"",IFERROR(VLOOKUP($B203,'Base de datos'!$A$3:$K$24,9,FALSE),"")&lt;&gt;0)),"",IFERROR($E203*$C203/IFERROR(VLOOKUP($B203,'Base de datos'!$A$3:$K$24,5,FALSE),0),""))</f>
        <v/>
      </c>
      <c r="O203" s="6" t="str">
        <f>IF(OR(OR(UPPER(IFERROR(VLOOKUP($B203,'Base de datos'!$A$3:$K$24,11,FALSE),""))="NO",ISNUMBER(SEARCH("no sometida",IFERROR(VLOOKUP($B203,'Base de datos'!$A$3:$K$24,10,FALSE),""))),ISNUMBER(SEARCH("no fiscal",IFERROR(VLOOKUP($B203,'Base de datos'!$A$3:$K$24,10,FALSE),"")))),OR(ISNUMBER(SEARCH("Hach",$B203)),ISNUMBER(SEARCH("Ketamina",$B203))),AND(IFERROR(VLOOKUP($B203,'Base de datos'!$A$3:$K$24,9,FALSE),"")&lt;&gt;"",IFERROR(VLOOKUP($B203,'Base de datos'!$A$3:$K$24,9,FALSE),"")&lt;&gt;0)),"",IFERROR((($E203*$C203/IFERROR(VLOOKUP($B203,'Base de datos'!$A$3:$K$24,3,FALSE),0))*1000)/IFERROR(VLOOKUP($B203,'Base de datos'!$A$3:$K$24,2,FALSE),0),""))</f>
        <v/>
      </c>
    </row>
    <row r="204" spans="1:15" x14ac:dyDescent="0.25">
      <c r="A204" s="4"/>
      <c r="B204" s="4"/>
      <c r="C204" s="5" t="str">
        <f>IFERROR(VLOOKUP($B204,'Base de datos'!$A$3:$K$24,3,FALSE),"")</f>
        <v/>
      </c>
      <c r="D204" s="4" t="str">
        <f t="shared" si="6"/>
        <v/>
      </c>
      <c r="E204" s="6"/>
      <c r="F204" s="7" t="str">
        <f>IF($B204="","",IF(OR(UPPER(IFERROR(VLOOKUP($B204,'Base de datos'!$A$3:$K$24,11,FALSE),""))="NO",ISNUMBER(SEARCH("no sometida",IFERROR(VLOOKUP($B204,'Base de datos'!$A$3:$K$24,10,FALSE),""))),ISNUMBER(SEARCH("no fiscal",IFERROR(VLOOKUP($B204,'Base de datos'!$A$3:$K$24,10,FALSE),"")))),"",IF(OR(OR(ISNUMBER(SEARCH("Hach",$B204)),ISNUMBER(SEARCH("Ketamina",$B204))),AND(IFERROR(VLOOKUP($B204,'Base de datos'!$A$3:$K$24,9,FALSE),"")&lt;&gt;"",IFERROR(VLOOKUP($B204,'Base de datos'!$A$3:$K$24,9,FALSE),"")&lt;&gt;0)),"",IFERROR($M204*VLOOKUP($B204,'Base de datos'!$A$3:$K$24,8,FALSE)/1000,""))))</f>
        <v/>
      </c>
      <c r="G204" s="7" t="str">
        <f>IF($B204="","",IF(OR(UPPER(IFERROR(VLOOKUP($B204,'Base de datos'!$A$3:$K$24,11,FALSE),""))="NO",ISNUMBER(SEARCH("no sometida",IFERROR(VLOOKUP($B204,'Base de datos'!$A$3:$K$24,10,FALSE),""))),ISNUMBER(SEARCH("no fiscal",IFERROR(VLOOKUP($B204,'Base de datos'!$A$3:$K$24,10,FALSE),"")))),"",IFERROR(IF(OR(ISNUMBER(SEARCH("Hach",$B204)),ISNUMBER(SEARCH("Ketamina",$B204))),IF(VLOOKUP($B204,'Base de datos'!$A$3:$K$24,6,FALSE)="","",$E204*VLOOKUP($B204,'Base de datos'!$A$3:$K$24,6,FALSE)),IF(AND(IFERROR(VLOOKUP($B204,'Base de datos'!$A$3:$K$24,9,FALSE),"")&lt;&gt;"",IFERROR(VLOOKUP($B204,'Base de datos'!$A$3:$K$24,9,FALSE),"")&lt;&gt;0),"",IF(VLOOKUP($B204,'Base de datos'!$A$3:$K$24,6,FALSE)="","",$N204*VLOOKUP($B204,'Base de datos'!$A$3:$K$24,6,FALSE)))),"")))</f>
        <v/>
      </c>
      <c r="H204" s="7" t="str">
        <f>IF($B204="","",IF(OR(UPPER(IFERROR(VLOOKUP($B204,'Base de datos'!$A$3:$K$24,11,FALSE),""))="NO",ISNUMBER(SEARCH("no sometida",IFERROR(VLOOKUP($B204,'Base de datos'!$A$3:$K$24,10,FALSE),""))),ISNUMBER(SEARCH("no fiscal",IFERROR(VLOOKUP($B204,'Base de datos'!$A$3:$K$24,10,FALSE),"")))),"",IF(OR(ISNUMBER(SEARCH("Hach",$B204)),ISNUMBER(SEARCH("Ketamina",$B204))),"",IF(AND(IFERROR(VLOOKUP($B204,'Base de datos'!$A$3:$K$24,9,FALSE),"")&lt;&gt;"",IFERROR(VLOOKUP($B204,'Base de datos'!$A$3:$K$24,9,FALSE),"")&lt;&gt;0),$E204*IFERROR(VLOOKUP($B204,'Base de datos'!$A$3:$K$24,9,FALSE),""),IFERROR($O204*VLOOKUP($B204,'Base de datos'!$A$3:$K$24,4,FALSE),"")))))</f>
        <v/>
      </c>
      <c r="I204" s="5" t="str">
        <f>IFERROR(VLOOKUP($B204,'Base de datos'!$A$3:$K$24,7,FALSE),"")</f>
        <v/>
      </c>
      <c r="J204" s="13" t="str">
        <f>IFERROR(VLOOKUP($B204,'Base de datos'!$A$3:$K$24,10,FALSE),"")</f>
        <v/>
      </c>
      <c r="K204" s="6"/>
      <c r="L204" s="4"/>
      <c r="M204" s="6" t="str">
        <f>IF(OR(OR(UPPER(IFERROR(VLOOKUP($B204,'Base de datos'!$A$3:$K$24,11,FALSE),""))="NO",ISNUMBER(SEARCH("no sometida",IFERROR(VLOOKUP($B204,'Base de datos'!$A$3:$K$24,10,FALSE),""))),ISNUMBER(SEARCH("no fiscal",IFERROR(VLOOKUP($B204,'Base de datos'!$A$3:$K$24,10,FALSE),"")))),OR(ISNUMBER(SEARCH("Hach",$B204)),ISNUMBER(SEARCH("Ketamina",$B204))),AND(IFERROR(VLOOKUP($B204,'Base de datos'!$A$3:$K$24,9,FALSE),"")&lt;&gt;"",IFERROR(VLOOKUP($B204,'Base de datos'!$A$3:$K$24,9,FALSE),"")&lt;&gt;0)),"",IFERROR($E204*$C204/$I204,""))</f>
        <v/>
      </c>
      <c r="N204" s="6" t="str">
        <f>IF(OR(OR(UPPER(IFERROR(VLOOKUP($B204,'Base de datos'!$A$3:$K$24,11,FALSE),""))="NO",ISNUMBER(SEARCH("no sometida",IFERROR(VLOOKUP($B204,'Base de datos'!$A$3:$K$24,10,FALSE),""))),ISNUMBER(SEARCH("no fiscal",IFERROR(VLOOKUP($B204,'Base de datos'!$A$3:$K$24,10,FALSE),"")))),OR(ISNUMBER(SEARCH("Hach",$B204)),ISNUMBER(SEARCH("Ketamina",$B204))),AND(IFERROR(VLOOKUP($B204,'Base de datos'!$A$3:$K$24,9,FALSE),"")&lt;&gt;"",IFERROR(VLOOKUP($B204,'Base de datos'!$A$3:$K$24,9,FALSE),"")&lt;&gt;0)),"",IFERROR($E204*$C204/IFERROR(VLOOKUP($B204,'Base de datos'!$A$3:$K$24,5,FALSE),0),""))</f>
        <v/>
      </c>
      <c r="O204" s="6" t="str">
        <f>IF(OR(OR(UPPER(IFERROR(VLOOKUP($B204,'Base de datos'!$A$3:$K$24,11,FALSE),""))="NO",ISNUMBER(SEARCH("no sometida",IFERROR(VLOOKUP($B204,'Base de datos'!$A$3:$K$24,10,FALSE),""))),ISNUMBER(SEARCH("no fiscal",IFERROR(VLOOKUP($B204,'Base de datos'!$A$3:$K$24,10,FALSE),"")))),OR(ISNUMBER(SEARCH("Hach",$B204)),ISNUMBER(SEARCH("Ketamina",$B204))),AND(IFERROR(VLOOKUP($B204,'Base de datos'!$A$3:$K$24,9,FALSE),"")&lt;&gt;"",IFERROR(VLOOKUP($B204,'Base de datos'!$A$3:$K$24,9,FALSE),"")&lt;&gt;0)),"",IFERROR((($E204*$C204/IFERROR(VLOOKUP($B204,'Base de datos'!$A$3:$K$24,3,FALSE),0))*1000)/IFERROR(VLOOKUP($B204,'Base de datos'!$A$3:$K$24,2,FALSE),0),""))</f>
        <v/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DC4FD2-53B0-46DB-BD01-4DC8EFCF003F}">
          <x14:formula1>
            <xm:f>OFFSET('Base de datos'!$A$3,0,0,MAX(1,COUNTA('Base de datos'!$A$3:$A$24)),1)</xm:f>
          </x14:formula1>
          <xm:sqref>B5:B204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0E34-32FB-46BB-99BF-7E31C87AEBFA}">
  <sheetPr codeName="Hoja3"/>
  <dimension ref="A1:B16"/>
  <sheetViews>
    <sheetView tabSelected="1" workbookViewId="0">
      <selection activeCell="L17" sqref="L17"/>
    </sheetView>
  </sheetViews>
  <sheetFormatPr baseColWidth="10" defaultRowHeight="15" x14ac:dyDescent="0.25"/>
  <cols>
    <col min="1" max="1" width="32.7109375" customWidth="1"/>
    <col min="2" max="2" width="78.7109375" customWidth="1"/>
  </cols>
  <sheetData>
    <row r="1" spans="1:2" x14ac:dyDescent="0.25">
      <c r="A1" s="20" t="s">
        <v>8</v>
      </c>
      <c r="B1" s="21"/>
    </row>
    <row r="3" spans="1:2" x14ac:dyDescent="0.25">
      <c r="A3" s="1" t="s">
        <v>9</v>
      </c>
      <c r="B3" s="2" t="s">
        <v>75</v>
      </c>
    </row>
    <row r="4" spans="1:2" x14ac:dyDescent="0.25">
      <c r="A4" s="1" t="s">
        <v>10</v>
      </c>
      <c r="B4" s="2" t="s">
        <v>22</v>
      </c>
    </row>
    <row r="5" spans="1:2" x14ac:dyDescent="0.25">
      <c r="A5" s="1" t="s">
        <v>84</v>
      </c>
      <c r="B5" s="2" t="s">
        <v>83</v>
      </c>
    </row>
    <row r="6" spans="1:2" x14ac:dyDescent="0.25">
      <c r="A6" s="1" t="s">
        <v>11</v>
      </c>
      <c r="B6" s="2" t="s">
        <v>74</v>
      </c>
    </row>
    <row r="7" spans="1:2" x14ac:dyDescent="0.25">
      <c r="A7" s="1" t="s">
        <v>12</v>
      </c>
      <c r="B7" s="2" t="s">
        <v>78</v>
      </c>
    </row>
    <row r="8" spans="1:2" x14ac:dyDescent="0.25">
      <c r="A8" s="1" t="s">
        <v>13</v>
      </c>
      <c r="B8" s="2" t="s">
        <v>76</v>
      </c>
    </row>
    <row r="9" spans="1:2" x14ac:dyDescent="0.25">
      <c r="A9" s="1" t="s">
        <v>14</v>
      </c>
      <c r="B9" s="2">
        <v>54654</v>
      </c>
    </row>
    <row r="10" spans="1:2" x14ac:dyDescent="0.25">
      <c r="A10" s="1" t="s">
        <v>15</v>
      </c>
      <c r="B10" s="2" t="s">
        <v>77</v>
      </c>
    </row>
    <row r="11" spans="1:2" x14ac:dyDescent="0.25">
      <c r="A11" s="1" t="s">
        <v>16</v>
      </c>
      <c r="B11" s="2" t="s">
        <v>79</v>
      </c>
    </row>
    <row r="12" spans="1:2" x14ac:dyDescent="0.25">
      <c r="A12" s="1" t="s">
        <v>17</v>
      </c>
      <c r="B12" s="2" t="s">
        <v>80</v>
      </c>
    </row>
    <row r="13" spans="1:2" x14ac:dyDescent="0.25">
      <c r="A13" s="1" t="s">
        <v>18</v>
      </c>
      <c r="B13" s="2" t="s">
        <v>81</v>
      </c>
    </row>
    <row r="14" spans="1:2" x14ac:dyDescent="0.25">
      <c r="A14" s="1" t="s">
        <v>19</v>
      </c>
      <c r="B14" s="2" t="s">
        <v>23</v>
      </c>
    </row>
    <row r="15" spans="1:2" x14ac:dyDescent="0.25">
      <c r="A15" s="1" t="s">
        <v>20</v>
      </c>
      <c r="B15" s="2"/>
    </row>
    <row r="16" spans="1:2" x14ac:dyDescent="0.25">
      <c r="A16" s="1" t="s">
        <v>21</v>
      </c>
      <c r="B16" s="2" t="s">
        <v>24</v>
      </c>
    </row>
  </sheetData>
  <mergeCells count="1">
    <mergeCell ref="A1:B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de datos</vt:lpstr>
      <vt:lpstr>Calculadora</vt:lpstr>
      <vt:lpstr>Informe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Angel dos</dc:creator>
  <cp:lastModifiedBy>Miguel Angel dos</cp:lastModifiedBy>
  <dcterms:created xsi:type="dcterms:W3CDTF">2026-08-31T17:20:32Z</dcterms:created>
  <dcterms:modified xsi:type="dcterms:W3CDTF">2026-09-01T15:32:20Z</dcterms:modified>
</cp:coreProperties>
</file>